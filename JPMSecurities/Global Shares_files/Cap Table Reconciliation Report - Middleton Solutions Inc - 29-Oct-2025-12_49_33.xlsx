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alcChain.xml" ContentType="application/vnd.openxmlformats-officedocument.spreadsheetml.calcChain+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e0efa338fd6443e" /><Relationship Type="http://schemas.openxmlformats.org/officeDocument/2006/relationships/extended-properties" Target="/docProps/app.xml" Id="rId1" /><Relationship Type="http://schemas.openxmlformats.org/package/2006/relationships/metadata/core-properties" Target="/package/services/metadata/core-properties/6718361c86fc46f68ebd93cd4ec3f98c.psmdcp" Id="R58cae4d511f1428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ap Table Summary" sheetId="2" r:id="rId2"/>
    <x:sheet name="Cap Table by Stakeholder" sheetId="3" r:id="rId3"/>
    <x:sheet name="Cap Table by Share Class" sheetId="4" r:id="rId4"/>
    <x:sheet name="Users" sheetId="5" r:id="rId5"/>
    <x:sheet name="Share Transactions" sheetId="6" r:id="rId6"/>
    <x:sheet name="Plan Management" sheetId="7" r:id="rId7"/>
  </x:sheets>
  <x:definedNames/>
  <x:calcPr calcId="125725"/>
</x:workbook>
</file>

<file path=xl/calcChain.xml><?xml version="1.0" encoding="utf-8"?>
<x:calcChain xmlns:x="http://schemas.openxmlformats.org/spreadsheetml/2006/main">
  <x:c r="K12" i="6"/>
  <x:c r="L12" i="6"/>
  <x:c r="P12" i="6"/>
  <x:c r="U12" i="6"/>
  <x:c r="V12" i="6"/>
  <x:c r="X12" i="6"/>
  <x:c r="Z12" i="6"/>
  <x:c r="AF12" i="6"/>
  <x:c r="AH12" i="6"/>
</x:calcChain>
</file>

<file path=xl/sharedStrings.xml><?xml version="1.0" encoding="utf-8"?>
<x:sst xmlns:x="http://schemas.openxmlformats.org/spreadsheetml/2006/main">
  <x:si>
    <x:t>Name</x:t>
  </x:si>
  <x:si>
    <x:t>Type</x:t>
  </x:si>
  <x:si>
    <x:t>Category</x:t>
  </x:si>
  <x:si>
    <x:t>Outstanding</x:t>
  </x:si>
  <x:si>
    <x:t>Outstanding %</x:t>
  </x:si>
  <x:si>
    <x:t>Fully Diluted</x:t>
  </x:si>
  <x:si>
    <x:t>Fully Diluted %</x:t>
  </x:si>
  <x:si>
    <x:t>Share Class</x:t>
  </x:si>
  <x:si>
    <x:t>Angelita Gamble</x:t>
  </x:si>
  <x:si>
    <x:t>Founder</x:t>
  </x:si>
  <x:si>
    <x:t>Common Stock</x:t>
  </x:si>
  <x:si>
    <x:t>Korey Middleton</x:t>
  </x:si>
  <x:si>
    <x:t>BlackRock, Inc.</x:t>
  </x:si>
  <x:si>
    <x:t>Investor</x:t>
  </x:si>
  <x:si>
    <x:t>Goldman Sachs Group, Inc. (The)</x:t>
  </x:si>
  <x:si>
    <x:t>Apple</x:t>
  </x:si>
  <x:si>
    <x:t>Shareholder</x:t>
  </x:si>
  <x:si>
    <x:t>AT&amp;T</x:t>
  </x:si>
  <x:si>
    <x:t>Venture Capital</x:t>
  </x:si>
  <x:si>
    <x:t>Bellevue Boxing Club</x:t>
  </x:si>
  <x:si>
    <x:t>Ambassadors In Productions</x:t>
  </x:si>
  <x:si>
    <x:t>Johnsonz Transportation</x:t>
  </x:si>
  <x:si>
    <x:t>Ambassadors In Love International</x:t>
  </x:si>
  <x:si>
    <x:t>Total</x:t>
  </x:si>
  <x:si>
    <x:t>Cap Table by Stakeholder: Middleton Solutions Inc</x:t>
  </x:si>
  <x:si>
    <x:t>Exported by Korey Middleton on 29-Oct 25 at 00.49 UTC</x:t>
  </x:si>
  <x:si>
    <x:t>The J.P. Morgan Workplace Solutions Cap Table Management platform (the “Cap Table Management Platform”) is offered by J.P. Morgan Workplace Solutions. J.P. Morgan Workplace Solutions is a brand name for cap table management, equity compensation</x:t>
  </x:si>
  <x:si>
    <x:t>administration and other related businesses conducted by Global Shares. Global Shares is a trading name of the Global Shares Ireland Limited, a company registered in Ireland, registration number 412396 with its registered office at Unit 2, Building D, West Cork</x:t>
  </x:si>
  <x:si>
    <x:t>Technology Park, Clonakilty, Co, Cork, Ireland and Global Shares Inc., which is incorporated in Delaware. All equity ownership, value and similar content appearing on the Cap Table Management Platform is provided and administered by platform users. Global</x:t>
  </x:si>
  <x:si>
    <x:t>Shares has not reviewed or approved such content for your benefit and is in no way responsible for such content, including its accuracy, integrity or quality. No content provided through the Cap Table Management Platform is provided as legal, tax, insurance or</x:t>
  </x:si>
  <x:si>
    <x:t>investment advice and must not be used or treated as legal, tax, insurance or investment advice. No content found on the Cap Table Management Platform may be treated as an offer to, or solicitation of, any potential clients or investors, or for the provision of</x:t>
  </x:si>
  <x:si>
    <x:t>a recommendation of any securities transaction or investment strategy involving securities, including recommendations of types of accounts, investment management, advisory or any other similar service. Content received through the Cap Table Management</x:t>
  </x:si>
  <x:si>
    <x:t>Platform is intended to be used strictly for informational purposes only. Global Shares does not perform any duties of a transfer agent and is not registered as a transfer agent. Global Shares is not responsible for the transfer of any shares, nor for the</x:t>
  </x:si>
  <x:si>
    <x:t>maintenance of any complete updated stock ledger or shareholder list. The use of the Cap Table Management Platform is no substitute for maintaining updated company books and records.</x:t>
  </x:si>
  <x:si>
    <x:t>Voting power</x:t>
  </x:si>
  <x:si>
    <x:t>Voting %</x:t>
  </x:si>
  <x:si>
    <x:t>Capital Committed</x:t>
  </x:si>
  <x:si>
    <x:t>DataType</x:t>
  </x:si>
  <x:si>
    <x:t>SH</x:t>
  </x:si>
  <x:si>
    <x:t>Total Ownership</x:t>
  </x:si>
  <x:si>
    <x:t>Ownership %</x:t>
  </x:si>
  <x:si>
    <x:t>Shareholders</x:t>
  </x:si>
  <x:si>
    <x:t>Fully Diluted Shares</x:t>
  </x:si>
  <x:si>
    <x:t>Detailed Cap Table: Middleton Solutions Inc</x:t>
  </x:si>
  <x:si>
    <x:t>Click on the blue hyperlink figures on the Cap Table to understand more about the source of these values</x:t>
  </x:si>
  <x:si>
    <x:t>Stakeholder Type</x:t>
  </x:si>
  <x:si>
    <x:t>Stakeholder ID</x:t>
  </x:si>
  <x:si>
    <x:t>Stakeholder Name</x:t>
  </x:si>
  <x:si>
    <x:t>Entity Name</x:t>
  </x:si>
  <x:si>
    <x:t>E-Mail Address</x:t>
  </x:si>
  <x:si>
    <x:t>Role</x:t>
  </x:si>
  <x:si>
    <x:t>Access Status</x:t>
  </x:si>
  <x:si>
    <x:t>Stakeholder Category</x:t>
  </x:si>
  <x:si>
    <x:t>Other - Details</x:t>
  </x:si>
  <x:si>
    <x:t>Address Line 1</x:t>
  </x:si>
  <x:si>
    <x:t>Address Line 2</x:t>
  </x:si>
  <x:si>
    <x:t>City</x:t>
  </x:si>
  <x:si>
    <x:t>State</x:t>
  </x:si>
  <x:si>
    <x:t>Zip/Postcode</x:t>
  </x:si>
  <x:si>
    <x:t>Country</x:t>
  </x:si>
  <x:si>
    <x:t>Tax ID</x:t>
  </x:si>
  <x:si>
    <x:t>Cost Center</x:t>
  </x:si>
  <x:si>
    <x:t>Leaver</x:t>
  </x:si>
  <x:si>
    <x:t>Individual</x:t>
  </x:si>
  <x:si>
    <x:t>mk@middleton.solutions</x:t>
  </x:si>
  <x:si>
    <x:t>Advanced Investor</x:t>
  </x:si>
  <x:si>
    <x:t>Not invited</x:t>
  </x:si>
  <x:si>
    <x:t>No</x:t>
  </x:si>
  <x:si>
    <x:t>at@middleton.solutions</x:t>
  </x:si>
  <x:si>
    <x:t>Entity</x:t>
  </x:si>
  <x:si>
    <x:t>OUTTHEFREEZER Limited</x:t>
  </x:si>
  <x:si>
    <x:t>hello@outthefreezer.shop</x:t>
  </x:si>
  <x:si>
    <x:t>Fund</x:t>
  </x:si>
  <x:si>
    <x:t>sampleMiddletonSol4@sampleMiddletonemail.com</x:t>
  </x:si>
  <x:si>
    <x:t>sampleMiddletonSol3@sampleMiddletonemail.com</x:t>
  </x:si>
  <x:si>
    <x:t>lildre7470@gmail.com</x:t>
  </x:si>
  <x:si>
    <x:t>Personal Information Only</x:t>
  </x:si>
  <x:si>
    <x:t>kday212@gmail.com</x:t>
  </x:si>
  <x:si>
    <x:t>sampleMiddletonSol2@sampleMiddletonemail.com</x:t>
  </x:si>
  <x:si>
    <x:t>sampleMiddletonSol1@sampleMiddletonemail.com</x:t>
  </x:si>
  <x:si>
    <x:t>aiprollc3@gmail.com</x:t>
  </x:si>
  <x:si>
    <x:t>ambassadorsinlove@gmail.com</x:t>
  </x:si>
  <x:si>
    <x:t>Stakeholder Management: Middleton Solutions Inc</x:t>
  </x:si>
  <x:si>
    <x:t>Security ID</x:t>
  </x:si>
  <x:si>
    <x:t>Stakeholder Id</x:t>
  </x:si>
  <x:si>
    <x:t>Source</x:t>
  </x:si>
  <x:si>
    <x:t>Issue Date</x:t>
  </x:si>
  <x:si>
    <x:t>Certificate Format</x:t>
  </x:si>
  <x:si>
    <x:t>Certificate Type</x:t>
  </x:si>
  <x:si>
    <x:t>Terms</x:t>
  </x:si>
  <x:si>
    <x:t>Legend</x:t>
  </x:si>
  <x:si>
    <x:t>Shares</x:t>
  </x:si>
  <x:si>
    <x:t>Shares Outstanding</x:t>
  </x:si>
  <x:si>
    <x:t>Status</x:t>
  </x:si>
  <x:si>
    <x:t>Financing round</x:t>
  </x:si>
  <x:si>
    <x:t>Issue Price</x:t>
  </x:si>
  <x:si>
    <x:t>Origin</x:t>
  </x:si>
  <x:si>
    <x:t>Destination</x:t>
  </x:si>
  <x:si>
    <x:t>Vesting Start Date</x:t>
  </x:si>
  <x:si>
    <x:t>Vesting Schedule Name</x:t>
  </x:si>
  <x:si>
    <x:t>Shares Vested</x:t>
  </x:si>
  <x:si>
    <x:t>Shares Unvested</x:t>
  </x:si>
  <x:si>
    <x:t>Hurdle Price</x:t>
  </x:si>
  <x:si>
    <x:t>No. of Shares Repurchased</x:t>
  </x:si>
  <x:si>
    <x:t>Repurchase Date</x:t>
  </x:si>
  <x:si>
    <x:t>No. of Shares transferred</x:t>
  </x:si>
  <x:si>
    <x:t>Transfer Date</x:t>
  </x:si>
  <x:si>
    <x:t>Shareholder receiving shares</x:t>
  </x:si>
  <x:si>
    <x:t>No. of Shares Cancelled</x:t>
  </x:si>
  <x:si>
    <x:t>Cancellation Date</x:t>
  </x:si>
  <x:si>
    <x:t>Cancellation Reason</x:t>
  </x:si>
  <x:si>
    <x:t>No. of shares converted (Share Class)</x:t>
  </x:si>
  <x:si>
    <x:t>Conversion Date (Share Class)</x:t>
  </x:si>
  <x:si>
    <x:t>No. of shares converted (CRCP)</x:t>
  </x:si>
  <x:si>
    <x:t>Conversion Date (CRCP)</x:t>
  </x:si>
  <x:si>
    <x:t>Transactional History</x:t>
  </x:si>
  <x:si>
    <x:t>Comments</x:t>
  </x:si>
  <x:si>
    <x:t>Cancellation Comments</x:t>
  </x:si>
  <x:si>
    <x:t>CS-1</x:t>
  </x:si>
  <x:si>
    <x:t>Issuance</x:t>
  </x:si>
  <x:si>
    <x:t>Uncertificated</x:t>
  </x:si>
  <x:si>
    <x:t>CS-2</x:t>
  </x:si>
  <x:si>
    <x:t>CS-3</x:t>
  </x:si>
  <x:si>
    <x:t>Certificated</x:t>
  </x:si>
  <x:si>
    <x:t>Online</x:t>
  </x:si>
  <x:si>
    <x:t>Default</x:t>
  </x:si>
  <x:si>
    <x:t>CS-4</x:t>
  </x:si>
  <x:si>
    <x:t>CS-5</x:t>
  </x:si>
  <x:si>
    <x:t>CS-6</x:t>
  </x:si>
  <x:si>
    <x:t>CS-7</x:t>
  </x:si>
  <x:si>
    <x:t>CS-8</x:t>
  </x:si>
  <x:si>
    <x:t>CS-9</x:t>
  </x:si>
  <x:si>
    <x:t>CS-10</x:t>
  </x:si>
  <x:si>
    <x:t>Transactions Export: Middleton Solutions Inc</x:t>
  </x:si>
  <x:si>
    <x:t>PLAN SUMMARY</x:t>
  </x:si>
  <x:si>
    <x:t>Plan Name</x:t>
  </x:si>
  <x:si>
    <x:t>Plan Type</x:t>
  </x:si>
  <x:si>
    <x:t>Shares Reserved in Plan</x:t>
  </x:si>
  <x:si>
    <x:t>Granted</x:t>
  </x:si>
  <x:si>
    <x:t>Forfeited</x:t>
  </x:si>
  <x:si>
    <x:t>Expired</x:t>
  </x:si>
  <x:si>
    <x:t>Repurchased</x:t>
  </x:si>
  <x:si>
    <x:t>Exercised/Released</x:t>
  </x:si>
  <x:si>
    <x:t>RSU Outstanding</x:t>
  </x:si>
  <x:si>
    <x:t>RSA Outstanding</x:t>
  </x:si>
  <x:si>
    <x:t>Options Outstanding</x:t>
  </x:si>
  <x:si>
    <x:t>Total Outstanding</x:t>
  </x:si>
  <x:si>
    <x:t>Shares Available in Plan</x:t>
  </x:si>
  <x:si>
    <x:t>CAP TABLE SUMMARY</x:t>
  </x:si>
  <x:si>
    <x:t>Restricted Stock Outstanding</x:t>
  </x:si>
  <x:si>
    <x:t>Available for Grant</x:t>
  </x:si>
  <x:si>
    <x:t>Notes:
1. In the Cap Table Summary table, the “Available for Grant” reflects the cumulative totals of the “Shares Available in Plan” from the Plan Summary table.
2. In the Plan Summary table, the cumulative total of the “Shares Available in Plan” column excludes any Non-Dilutive SARs plan types since they do not have a dilution impact on the Cap Table.
3. In the Plan Summary table, the cumulative total of the “Outstanding” column excludes any Growth Shares and Non-Dilutive SARs plan types.</x:t>
  </x:si>
  <x:si>
    <x:t>Plan Management Export: Middleton Solutions Inc</x:t>
  </x:si>
</x:sst>
</file>

<file path=xl/styles.xml><?xml version="1.0" encoding="utf-8"?>
<x:styleSheet xmlns:x="http://schemas.openxmlformats.org/spreadsheetml/2006/main">
  <x:numFmts count="9">
    <x:numFmt numFmtId="0" formatCode=""/>
    <x:numFmt numFmtId="164" formatCode="#,##0;-#,##0;-"/>
    <x:numFmt numFmtId="165" formatCode="#,##0.00;-#,##0.00;-"/>
    <x:numFmt numFmtId="166" formatCode="$ #,##0.00"/>
    <x:numFmt numFmtId="167" formatCode="#,##0.00 %"/>
    <x:numFmt numFmtId="168" formatCode="$  #,##0.00"/>
    <x:numFmt numFmtId="169" formatCode="dd-MMM-yyyy"/>
    <x:numFmt numFmtId="170" formatCode="#,##0.00######;-#,##0.00######;0"/>
    <x:numFmt numFmtId="171" formatCode="#,##0.00######;-#,##0.00######;-"/>
  </x:numFmts>
  <x:fonts count="4">
    <x:font>
      <x:vertAlign val="baseline"/>
      <x:sz val="11"/>
      <x:color rgb="FF000000"/>
      <x:name val="Calibri"/>
      <x:family val="2"/>
    </x:font>
    <x:font>
      <x:b/>
      <x:vertAlign val="baseline"/>
      <x:sz val="11"/>
      <x:color rgb="FF000000"/>
      <x:name val="Calibri"/>
      <x:family val="2"/>
    </x:font>
    <x:font>
      <x:i/>
      <x:vertAlign val="baseline"/>
      <x:sz val="9"/>
      <x:color rgb="FF000000"/>
      <x:name val="Calibri"/>
      <x:family val="2"/>
    </x:font>
    <x:font>
      <x:b/>
      <x:u val="single"/>
      <x:vertAlign val="baseline"/>
      <x:sz val="11"/>
      <x:color theme="10"/>
      <x:name val="Calibri"/>
      <x:family val="2"/>
    </x:font>
  </x:fonts>
  <x:fills count="5">
    <x:fill>
      <x:patternFill patternType="none"/>
    </x:fill>
    <x:fill>
      <x:patternFill patternType="gray125"/>
    </x:fill>
    <x:fill>
      <x:patternFill patternType="solid">
        <x:fgColor rgb="FFD3D3D3"/>
      </x:patternFill>
    </x:fill>
    <x:fill>
      <x:patternFill patternType="solid">
        <x:fgColor rgb="FFF5F5F5"/>
      </x:patternFill>
    </x:fill>
    <x:fill>
      <x:patternFill patternType="solid">
        <x:fgColor rgb="FFC0C0C0"/>
      </x:patternFill>
    </x:fill>
  </x:fills>
  <x:borders count="11">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medium">
        <x:color rgb="FF000000"/>
      </x:left>
      <x:right style="thin">
        <x:color rgb="FF000000"/>
      </x:right>
      <x:top style="medium">
        <x:color rgb="FF000000"/>
      </x:top>
      <x:bottom style="medium">
        <x:color rgb="FF000000"/>
      </x:bottom>
      <x:diagonal style="none">
        <x:color rgb="FF000000"/>
      </x:diagonal>
    </x:border>
    <x:border diagonalUp="0" diagonalDown="0">
      <x:left style="thin">
        <x:color rgb="FF000000"/>
      </x:left>
      <x:right style="thin">
        <x:color rgb="FF000000"/>
      </x:right>
      <x:top style="medium">
        <x:color rgb="FF000000"/>
      </x:top>
      <x:bottom style="medium">
        <x:color rgb="FF000000"/>
      </x:bottom>
      <x:diagonal style="none">
        <x:color rgb="FF000000"/>
      </x:diagonal>
    </x:border>
    <x:border diagonalUp="0" diagonalDown="0">
      <x:left style="thin">
        <x:color rgb="FF000000"/>
      </x:left>
      <x:right style="medium">
        <x:color rgb="FF000000"/>
      </x:right>
      <x:top style="medium">
        <x:color rgb="FF000000"/>
      </x:top>
      <x:bottom style="medium">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medium">
        <x:color rgb="FF000000"/>
      </x:left>
      <x:right style="medium">
        <x:color rgb="FF000000"/>
      </x:right>
      <x:top style="medium">
        <x:color rgb="FF000000"/>
      </x:top>
      <x:bottom style="medium">
        <x:color rgb="FF000000"/>
      </x:bottom>
      <x:diagonal style="none">
        <x:color rgb="FF000000"/>
      </x:diagonal>
    </x:border>
    <x:border diagonalUp="0" diagonalDown="0">
      <x:left style="none">
        <x:color rgb="FF000000"/>
      </x:left>
      <x:right style="none">
        <x:color rgb="FF000000"/>
      </x:right>
      <x:top style="medium">
        <x:color rgb="FF000000"/>
      </x:top>
      <x:bottom style="medium">
        <x:color rgb="FF000000"/>
      </x:bottom>
      <x:diagonal style="none">
        <x:color rgb="FF000000"/>
      </x:diagonal>
    </x:border>
    <x:border diagonalUp="0" diagonalDown="0">
      <x:left style="none">
        <x:color rgb="FF000000"/>
      </x:left>
      <x:right style="medium">
        <x:color rgb="FF000000"/>
      </x:right>
      <x:top style="medium">
        <x:color rgb="FF000000"/>
      </x:top>
      <x:bottom style="medium">
        <x:color rgb="FF000000"/>
      </x:bottom>
      <x:diagonal style="none">
        <x:color rgb="FF000000"/>
      </x:diagonal>
    </x:border>
    <x:border diagonalUp="0" diagonalDown="0">
      <x:left style="medium">
        <x:color rgb="FF000000"/>
      </x:left>
      <x:right style="medium">
        <x:color rgb="FF000000"/>
      </x:right>
      <x:top style="medium">
        <x:color rgb="FF000000"/>
      </x:top>
      <x:bottom style="thin">
        <x:color rgb="FF000000"/>
      </x:bottom>
      <x:diagonal style="none">
        <x:color rgb="FF000000"/>
      </x:diagonal>
    </x:border>
    <x:border diagonalUp="0" diagonalDown="0">
      <x:left style="medium">
        <x:color rgb="FF000000"/>
      </x:left>
      <x:right style="medium">
        <x:color rgb="FF000000"/>
      </x:right>
      <x:top style="thin">
        <x:color rgb="FF000000"/>
      </x:top>
      <x:bottom style="thin">
        <x:color rgb="FF000000"/>
      </x:bottom>
      <x:diagonal style="none">
        <x:color rgb="FF000000"/>
      </x:diagonal>
    </x:border>
    <x:border diagonalUp="0" diagonalDown="0">
      <x:left style="medium">
        <x:color rgb="FF000000"/>
      </x:left>
      <x:right style="medium">
        <x:color rgb="FF000000"/>
      </x:right>
      <x:top style="thin">
        <x:color rgb="FF000000"/>
      </x:top>
      <x:bottom style="medium">
        <x:color rgb="FF000000"/>
      </x:bottom>
      <x:diagonal style="none">
        <x:color rgb="FF000000"/>
      </x:diagonal>
    </x:border>
  </x:borders>
  <x:cellStyleXfs count="35">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0" fontId="1" fillId="2" borderId="2" applyNumberFormat="1" applyFill="0" applyBorder="1" applyAlignment="1" applyProtection="1">
      <x:protection locked="1" hidden="0"/>
    </x:xf>
    <x:xf numFmtId="0" fontId="1" fillId="2" borderId="3" applyNumberFormat="1" applyFill="0" applyBorder="1" applyAlignment="1" applyProtection="1">
      <x:protection locked="1" hidden="0"/>
    </x:xf>
    <x:xf numFmtId="0" fontId="0" fillId="3" borderId="4" applyNumberFormat="1" applyFill="0" applyBorder="1" applyAlignment="1" applyProtection="1">
      <x:protection locked="1" hidden="0"/>
    </x:xf>
    <x:xf numFmtId="164" fontId="0" fillId="3" borderId="4" applyNumberFormat="1" applyFill="0" applyBorder="1" applyAlignment="1" applyProtection="1">
      <x:protection locked="1" hidden="0"/>
    </x:xf>
    <x:xf numFmtId="165" fontId="0" fillId="3" borderId="4" applyNumberFormat="1" applyFill="0" applyBorder="1" applyAlignment="1" applyProtection="1">
      <x:protection locked="1" hidden="0"/>
    </x:xf>
    <x:xf numFmtId="0" fontId="0" fillId="0" borderId="4" applyNumberFormat="1" applyFill="1" applyBorder="1" applyAlignment="1" applyProtection="1">
      <x:protection locked="1" hidden="0"/>
    </x:xf>
    <x:xf numFmtId="164" fontId="0" fillId="0" borderId="4" applyNumberFormat="1" applyFill="1" applyBorder="1" applyAlignment="1" applyProtection="1">
      <x:protection locked="1" hidden="0"/>
    </x:xf>
    <x:xf numFmtId="165" fontId="0" fillId="0" borderId="4" applyNumberFormat="1" applyFill="1" applyBorder="1" applyAlignment="1" applyProtection="1">
      <x:protection locked="1" hidden="0"/>
    </x:xf>
    <x:xf numFmtId="164" fontId="1" fillId="2" borderId="2" applyNumberFormat="1" applyFill="0" applyBorder="1" applyAlignment="1" applyProtection="1">
      <x:protection locked="1" hidden="0"/>
    </x:xf>
    <x:xf numFmtId="165" fontId="1" fillId="2" borderId="2" applyNumberFormat="1" applyFill="0" applyBorder="1" applyAlignment="1" applyProtection="1">
      <x:protection locked="1" hidden="0"/>
    </x:xf>
    <x:xf numFmtId="0" fontId="1"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1" fillId="2" borderId="2" applyNumberFormat="1" applyFill="0" applyBorder="1" applyAlignment="1" applyProtection="1">
      <x:protection locked="1" hidden="0"/>
    </x:xf>
    <x:xf numFmtId="166" fontId="0" fillId="3" borderId="4" applyNumberFormat="1" applyFill="0" applyBorder="1" applyAlignment="1" applyProtection="1">
      <x:protection locked="1" hidden="0"/>
    </x:xf>
    <x:xf numFmtId="166" fontId="0" fillId="3" borderId="0" applyNumberFormat="1" applyFill="0" applyBorder="0" applyAlignment="1" applyProtection="1">
      <x:protection locked="1" hidden="0"/>
    </x:xf>
    <x:xf numFmtId="164" fontId="3" fillId="2" borderId="2" applyNumberFormat="1" applyFill="0" applyBorder="1" applyAlignment="1" applyProtection="1">
      <x:protection locked="1" hidden="0"/>
    </x:xf>
    <x:xf numFmtId="167" fontId="1" fillId="2" borderId="2" applyNumberFormat="1" applyFill="0" applyBorder="1" applyAlignment="1" applyProtection="1">
      <x:protection locked="1" hidden="0"/>
    </x:xf>
    <x:xf numFmtId="168" fontId="1" fillId="2" borderId="3" applyNumberFormat="1" applyFill="0" applyBorder="1" applyAlignment="1" applyProtection="1">
      <x:protection locked="1" hidden="0"/>
    </x:xf>
    <x:xf numFmtId="167" fontId="0" fillId="3" borderId="4" applyNumberFormat="1" applyFill="0" applyBorder="1" applyAlignment="1" applyProtection="1">
      <x:protection locked="1" hidden="0"/>
    </x:xf>
    <x:xf numFmtId="168" fontId="0" fillId="3" borderId="4" applyNumberFormat="1" applyFill="0" applyBorder="1" applyAlignment="1" applyProtection="1">
      <x:protection locked="1" hidden="0"/>
    </x:xf>
    <x:xf numFmtId="167" fontId="0" fillId="0" borderId="4" applyNumberFormat="1" applyFill="1" applyBorder="1" applyAlignment="1" applyProtection="1">
      <x:protection locked="1" hidden="0"/>
    </x:xf>
    <x:xf numFmtId="168" fontId="0" fillId="0" borderId="4" applyNumberFormat="1" applyFill="1" applyBorder="1" applyAlignment="1" applyProtection="1">
      <x:protection locked="1" hidden="0"/>
    </x:xf>
    <x:xf numFmtId="169" fontId="0" fillId="0" borderId="4" applyNumberFormat="1" applyFill="1" applyBorder="1" applyAlignment="1" applyProtection="1">
      <x:protection locked="1" hidden="0"/>
    </x:xf>
    <x:xf numFmtId="170" fontId="0" fillId="0" borderId="4" applyNumberFormat="1" applyFill="1" applyBorder="1" applyAlignment="1" applyProtection="1">
      <x:protection locked="1" hidden="0"/>
    </x:xf>
    <x:xf numFmtId="171" fontId="1" fillId="2" borderId="2" applyNumberFormat="1" applyFill="0" applyBorder="1" applyAlignment="1" applyProtection="1">
      <x:protection locked="1" hidden="0"/>
    </x:xf>
    <x:xf numFmtId="0" fontId="1" fillId="4" borderId="5" applyNumberFormat="1" applyFill="0" applyBorder="1" applyAlignment="1" applyProtection="1">
      <x:protection locked="1" hidden="0"/>
    </x:xf>
    <x:xf numFmtId="0" fontId="1" fillId="4" borderId="6" applyNumberFormat="1" applyFill="0" applyBorder="1" applyAlignment="1" applyProtection="1">
      <x:protection locked="1" hidden="0"/>
    </x:xf>
    <x:xf numFmtId="0" fontId="1" fillId="4" borderId="7" applyNumberFormat="1" applyFill="0" applyBorder="1" applyAlignment="1" applyProtection="1">
      <x:protection locked="1" hidden="0"/>
    </x:xf>
    <x:xf numFmtId="0" fontId="1" fillId="2" borderId="8" applyNumberFormat="1" applyFill="0" applyBorder="1" applyAlignment="1" applyProtection="1">
      <x:protection locked="1" hidden="0"/>
    </x:xf>
    <x:xf numFmtId="0" fontId="1" fillId="2" borderId="9" applyNumberFormat="1" applyFill="0" applyBorder="1" applyAlignment="1" applyProtection="1">
      <x:protection locked="1" hidden="0"/>
    </x:xf>
    <x:xf numFmtId="0" fontId="1" fillId="2" borderId="10" applyNumberFormat="1" applyFill="0" applyBorder="1" applyAlignment="1" applyProtection="1">
      <x:protection locked="1" hidden="0"/>
    </x:xf>
  </x:cellStyleXfs>
  <x:cellXfs count="3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5"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4"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1" fillId="2" borderId="2" xfId="0" applyNumberFormat="1" applyFill="0" applyBorder="1" applyAlignment="1" applyProtection="1">
      <x:alignment horizontal="general" vertical="bottom" textRotation="0" wrapText="1" indent="0" relativeIndent="0" justifyLastLine="0" shrinkToFit="0" readingOrder="0"/>
      <x:protection locked="1" hidden="0"/>
    </x:xf>
    <x:xf numFmtId="0" fontId="1" fillId="2" borderId="3" xfId="0" applyNumberFormat="1" applyFill="0" applyBorder="1" applyAlignment="1" applyProtection="1">
      <x:alignment horizontal="general" vertical="bottom" textRotation="0" wrapText="1" indent="0" relativeIndent="0" justifyLastLine="0" shrinkToFit="0" readingOrder="0"/>
      <x:protection locked="1" hidden="0"/>
    </x:xf>
    <x:xf numFmtId="164" fontId="3"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167"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168" fontId="1" fillId="2" borderId="3" xfId="0" applyNumberFormat="1" applyFill="0" applyBorder="1" applyAlignment="1" applyProtection="1">
      <x:alignment horizontal="general" vertical="bottom" textRotation="0" wrapText="0" indent="0" relativeIndent="0" justifyLastLine="0" shrinkToFit="0" readingOrder="0"/>
      <x:protection locked="1" hidden="0"/>
    </x:xf>
    <x:xf numFmtId="167"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8"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7"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8"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9"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70"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71"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4"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1" fillId="4" borderId="6" xfId="0" applyNumberFormat="1" applyFill="0" applyBorder="1" applyAlignment="1" applyProtection="1">
      <x:alignment horizontal="center" vertical="bottom" textRotation="0" wrapText="0" indent="0" relativeIndent="0" justifyLastLine="0" shrinkToFit="0" readingOrder="0"/>
      <x:protection locked="1" hidden="0"/>
    </x:xf>
    <x:xf numFmtId="0" fontId="1" fillId="4"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1" fillId="2" borderId="8"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9"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8" /><Relationship Type="http://schemas.openxmlformats.org/officeDocument/2006/relationships/styles" Target="/xl/styles.xml" Id="rId9"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calcChain" Target="/xl/calcChain.xml" Id="rId10" /><Relationship Type="http://schemas.openxmlformats.org/officeDocument/2006/relationships/theme" Target="/xl/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G21"/>
  <x:sheetViews>
    <x:sheetView showGridLines="0" workbookViewId="0"/>
  </x:sheetViews>
  <x:sheetFormatPr defaultRowHeight="15" outlineLevelCol="2"/>
  <x:cols>
    <x:col min="1" max="2" width="22.710625" style="0" customWidth="1"/>
    <x:col min="3" max="3" width="40.710625" style="0" customWidth="1"/>
    <x:col min="4" max="4" width="14.710625" style="0" customWidth="1"/>
    <x:col min="5" max="5" width="15.567768" style="0" customWidth="1"/>
    <x:col min="6" max="6" width="12.710625" style="0" customWidth="1"/>
    <x:col min="7" max="7" width="17.853482" style="0" customWidth="1"/>
  </x:cols>
  <x:sheetData>
    <x:row r="1" spans="1:7">
      <x:c r="A1" s="19" t="s"/>
      <x:c r="B1" s="20" t="s"/>
      <x:c r="C1" s="20" t="s"/>
      <x:c r="D1" s="20" t="s">
        <x:v>10</x:v>
      </x:c>
      <x:c r="E1" s="20" t="s">
        <x:v>39</x:v>
      </x:c>
      <x:c r="F1" s="20" t="s">
        <x:v>40</x:v>
      </x:c>
      <x:c r="G1" s="21" t="s">
        <x:v>36</x:v>
      </x:c>
    </x:row>
    <x:row r="2" spans="1:7">
      <x:c r="A2" s="1" t="s">
        <x:v>41</x:v>
      </x:c>
      <x:c r="B2" s="2" t="s"/>
      <x:c r="C2" s="2" t="s"/>
      <x:c r="D2" s="10">
        <x:v>76300000</x:v>
      </x:c>
      <x:c r="E2" s="22">
        <x:v>76300000</x:v>
      </x:c>
      <x:c r="F2" s="23">
        <x:v>1</x:v>
      </x:c>
      <x:c r="G2" s="24">
        <x:v>492000000</x:v>
      </x:c>
    </x:row>
    <x:row r="3" spans="1:7" collapsed="1" outlineLevel="1">
      <x:c r="A3" s="4" t="s"/>
      <x:c r="B3" s="4" t="s">
        <x:v>9</x:v>
      </x:c>
      <x:c r="C3" s="4" t="s"/>
      <x:c r="D3" s="5">
        <x:v>49200000</x:v>
      </x:c>
      <x:c r="E3" s="5">
        <x:v>49200000</x:v>
      </x:c>
      <x:c r="F3" s="25">
        <x:v>0.644823066841415</x:v>
      </x:c>
      <x:c r="G3" s="26">
        <x:v>492000000</x:v>
      </x:c>
    </x:row>
    <x:row r="4" spans="1:7" collapsed="1" outlineLevel="2">
      <x:c r="A4" s="7" t="s"/>
      <x:c r="B4" s="7" t="s"/>
      <x:c r="C4" s="7" t="s">
        <x:v>8</x:v>
      </x:c>
      <x:c r="D4" s="8">
        <x:v>37397000</x:v>
      </x:c>
      <x:c r="E4" s="8">
        <x:v>37397000</x:v>
      </x:c>
      <x:c r="F4" s="27">
        <x:v>0.490131061598952</x:v>
      </x:c>
      <x:c r="G4" s="28">
        <x:v>373970000</x:v>
      </x:c>
    </x:row>
    <x:row r="5" spans="1:7" collapsed="1" outlineLevel="2">
      <x:c r="A5" s="7" t="s"/>
      <x:c r="B5" s="7" t="s"/>
      <x:c r="C5" s="7" t="s">
        <x:v>11</x:v>
      </x:c>
      <x:c r="D5" s="8">
        <x:v>11803000</x:v>
      </x:c>
      <x:c r="E5" s="8">
        <x:v>11803000</x:v>
      </x:c>
      <x:c r="F5" s="27">
        <x:v>0.154692005242464</x:v>
      </x:c>
      <x:c r="G5" s="28">
        <x:v>118030000</x:v>
      </x:c>
    </x:row>
    <x:row r="6" spans="1:7" collapsed="1" outlineLevel="1">
      <x:c r="A6" s="4" t="s"/>
      <x:c r="B6" s="4" t="s">
        <x:v>13</x:v>
      </x:c>
      <x:c r="C6" s="4" t="s"/>
      <x:c r="D6" s="5">
        <x:v>19100000</x:v>
      </x:c>
      <x:c r="E6" s="5">
        <x:v>19100000</x:v>
      </x:c>
      <x:c r="F6" s="25">
        <x:v>0.250327653997379</x:v>
      </x:c>
      <x:c r="G6" s="26">
        <x:v>0</x:v>
      </x:c>
    </x:row>
    <x:row r="7" spans="1:7" collapsed="1" outlineLevel="2">
      <x:c r="A7" s="7" t="s"/>
      <x:c r="B7" s="7" t="s"/>
      <x:c r="C7" s="7" t="s">
        <x:v>12</x:v>
      </x:c>
      <x:c r="D7" s="8">
        <x:v>10800000</x:v>
      </x:c>
      <x:c r="E7" s="8">
        <x:v>10800000</x:v>
      </x:c>
      <x:c r="F7" s="27">
        <x:v>0.141546526867628</x:v>
      </x:c>
      <x:c r="G7" s="28">
        <x:v>0</x:v>
      </x:c>
    </x:row>
    <x:row r="8" spans="1:7" collapsed="1" outlineLevel="2">
      <x:c r="A8" s="7" t="s"/>
      <x:c r="B8" s="7" t="s"/>
      <x:c r="C8" s="7" t="s">
        <x:v>14</x:v>
      </x:c>
      <x:c r="D8" s="8">
        <x:v>8300000</x:v>
      </x:c>
      <x:c r="E8" s="8">
        <x:v>8300000</x:v>
      </x:c>
      <x:c r="F8" s="27">
        <x:v>0.108781127129751</x:v>
      </x:c>
      <x:c r="G8" s="28">
        <x:v>0</x:v>
      </x:c>
    </x:row>
    <x:row r="9" spans="1:7" collapsed="1" outlineLevel="1">
      <x:c r="A9" s="4" t="s"/>
      <x:c r="B9" s="4" t="s">
        <x:v>16</x:v>
      </x:c>
      <x:c r="C9" s="4" t="s"/>
      <x:c r="D9" s="5">
        <x:v>3000000</x:v>
      </x:c>
      <x:c r="E9" s="5">
        <x:v>3000000</x:v>
      </x:c>
      <x:c r="F9" s="25">
        <x:v>0.0393184796854522</x:v>
      </x:c>
      <x:c r="G9" s="26">
        <x:v>0</x:v>
      </x:c>
    </x:row>
    <x:row r="10" spans="1:7" collapsed="1" outlineLevel="2">
      <x:c r="A10" s="7" t="s"/>
      <x:c r="B10" s="7" t="s"/>
      <x:c r="C10" s="7" t="s">
        <x:v>15</x:v>
      </x:c>
      <x:c r="D10" s="8">
        <x:v>2000000</x:v>
      </x:c>
      <x:c r="E10" s="8">
        <x:v>2000000</x:v>
      </x:c>
      <x:c r="F10" s="27">
        <x:v>0.0262123197903014</x:v>
      </x:c>
      <x:c r="G10" s="28">
        <x:v>0</x:v>
      </x:c>
    </x:row>
    <x:row r="11" spans="1:7" collapsed="1" outlineLevel="2">
      <x:c r="A11" s="7" t="s"/>
      <x:c r="B11" s="7" t="s"/>
      <x:c r="C11" s="7" t="s">
        <x:v>22</x:v>
      </x:c>
      <x:c r="D11" s="8">
        <x:v>1000000</x:v>
      </x:c>
      <x:c r="E11" s="8">
        <x:v>1000000</x:v>
      </x:c>
      <x:c r="F11" s="27">
        <x:v>0.0131061598951507</x:v>
      </x:c>
      <x:c r="G11" s="28">
        <x:v>0</x:v>
      </x:c>
    </x:row>
    <x:row r="12" spans="1:7" collapsed="1" outlineLevel="1">
      <x:c r="A12" s="4" t="s"/>
      <x:c r="B12" s="4" t="s">
        <x:v>18</x:v>
      </x:c>
      <x:c r="C12" s="4" t="s"/>
      <x:c r="D12" s="5">
        <x:v>5000000</x:v>
      </x:c>
      <x:c r="E12" s="5">
        <x:v>5000000</x:v>
      </x:c>
      <x:c r="F12" s="25">
        <x:v>0.0655307994757536</x:v>
      </x:c>
      <x:c r="G12" s="26">
        <x:v>0</x:v>
      </x:c>
    </x:row>
    <x:row r="13" spans="1:7" collapsed="1" outlineLevel="2">
      <x:c r="A13" s="7" t="s"/>
      <x:c r="B13" s="7" t="s"/>
      <x:c r="C13" s="7" t="s">
        <x:v>17</x:v>
      </x:c>
      <x:c r="D13" s="8">
        <x:v>2000000</x:v>
      </x:c>
      <x:c r="E13" s="8">
        <x:v>2000000</x:v>
      </x:c>
      <x:c r="F13" s="27">
        <x:v>0.0262123197903014</x:v>
      </x:c>
      <x:c r="G13" s="28">
        <x:v>0</x:v>
      </x:c>
    </x:row>
    <x:row r="14" spans="1:7" collapsed="1" outlineLevel="2">
      <x:c r="A14" s="7" t="s"/>
      <x:c r="B14" s="7" t="s"/>
      <x:c r="C14" s="7" t="s">
        <x:v>20</x:v>
      </x:c>
      <x:c r="D14" s="8">
        <x:v>1000000</x:v>
      </x:c>
      <x:c r="E14" s="8">
        <x:v>1000000</x:v>
      </x:c>
      <x:c r="F14" s="27">
        <x:v>0.0131061598951507</x:v>
      </x:c>
      <x:c r="G14" s="28">
        <x:v>0</x:v>
      </x:c>
    </x:row>
    <x:row r="15" spans="1:7" collapsed="1" outlineLevel="2">
      <x:c r="A15" s="7" t="s"/>
      <x:c r="B15" s="7" t="s"/>
      <x:c r="C15" s="7" t="s">
        <x:v>19</x:v>
      </x:c>
      <x:c r="D15" s="8">
        <x:v>1000000</x:v>
      </x:c>
      <x:c r="E15" s="8">
        <x:v>1000000</x:v>
      </x:c>
      <x:c r="F15" s="27">
        <x:v>0.0131061598951507</x:v>
      </x:c>
      <x:c r="G15" s="28">
        <x:v>0</x:v>
      </x:c>
    </x:row>
    <x:row r="16" spans="1:7" collapsed="1" outlineLevel="2">
      <x:c r="A16" s="7" t="s"/>
      <x:c r="B16" s="7" t="s"/>
      <x:c r="C16" s="7" t="s">
        <x:v>21</x:v>
      </x:c>
      <x:c r="D16" s="8">
        <x:v>1000000</x:v>
      </x:c>
      <x:c r="E16" s="8">
        <x:v>1000000</x:v>
      </x:c>
      <x:c r="F16" s="27">
        <x:v>0.0131061598951507</x:v>
      </x:c>
      <x:c r="G16" s="28">
        <x:v>0</x:v>
      </x:c>
    </x:row>
    <x:row r="17" spans="1:7">
      <x:c r="A17" s="1" t="s">
        <x:v>42</x:v>
      </x:c>
      <x:c r="B17" s="2" t="s"/>
      <x:c r="C17" s="2" t="s"/>
      <x:c r="D17" s="10">
        <x:v>76300000</x:v>
      </x:c>
      <x:c r="E17" s="10">
        <x:v>76300000</x:v>
      </x:c>
      <x:c r="F17" s="23">
        <x:v>1</x:v>
      </x:c>
      <x:c r="G17" s="24">
        <x:v>492000000</x:v>
      </x:c>
    </x:row>
    <x:row r="18" spans="1:7">
      <x:c r="A18" s="12" t="s">
        <x:v>43</x:v>
      </x:c>
    </x:row>
    <x:row r="19" spans="1:7">
      <x:c r="A19" s="0" t="s">
        <x:v>25</x:v>
      </x:c>
    </x:row>
    <x:row r="21" spans="1:7">
      <x:c r="A21" s="0" t="s">
        <x:v>44</x:v>
      </x:c>
    </x:row>
  </x:sheetData>
  <x:hyperlinks>
    <x:hyperlink ref="E2" location="'Share Transactions'!L12" display="76,300,000"/>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L33"/>
  <x:sheetViews>
    <x:sheetView showGridLines="0" workbookViewId="0"/>
  </x:sheetViews>
  <x:sheetFormatPr defaultRowHeight="15"/>
  <x:cols>
    <x:col min="1" max="1" width="30.710625" style="0" customWidth="1"/>
    <x:col min="2" max="3" width="14.710625" style="0" customWidth="1"/>
    <x:col min="4" max="4" width="11.996339" style="0" customWidth="1"/>
    <x:col min="5" max="5" width="14.139196" style="0" customWidth="1"/>
    <x:col min="6" max="6" width="11.853482" style="0" customWidth="1"/>
    <x:col min="7" max="7" width="13.996339" style="0" customWidth="1"/>
    <x:col min="8" max="8" width="14.710625" style="0" customWidth="1"/>
  </x:cols>
  <x:sheetData>
    <x:row r="1" spans="1:12" ht="30" customHeight="1">
      <x:c r="A1" s="1" t="s">
        <x:v>0</x:v>
      </x:c>
      <x:c r="B1" s="2" t="s">
        <x:v>1</x:v>
      </x:c>
      <x:c r="C1" s="2" t="s">
        <x:v>2</x:v>
      </x:c>
      <x:c r="D1" s="2" t="s">
        <x:v>3</x:v>
      </x:c>
      <x:c r="E1" s="2" t="s">
        <x:v>4</x:v>
      </x:c>
      <x:c r="F1" s="2" t="s">
        <x:v>5</x:v>
      </x:c>
      <x:c r="G1" s="2" t="s">
        <x:v>6</x:v>
      </x:c>
      <x:c r="H1" s="3" t="s">
        <x:v>7</x:v>
      </x:c>
    </x:row>
    <x:row r="2" spans="1:12">
      <x:c r="A2" s="4" t="s">
        <x:v>8</x:v>
      </x:c>
      <x:c r="B2" s="4"/>
      <x:c r="C2" s="4" t="s">
        <x:v>9</x:v>
      </x:c>
      <x:c r="D2" s="5">
        <x:v>37397000</x:v>
      </x:c>
      <x:c r="E2" s="6">
        <x:v>49.0131061598952</x:v>
      </x:c>
      <x:c r="F2" s="5">
        <x:v>37397000</x:v>
      </x:c>
      <x:c r="G2" s="6">
        <x:v>49.0131061598952</x:v>
      </x:c>
      <x:c r="H2" s="4"/>
    </x:row>
    <x:row r="3" spans="1:12">
      <x:c r="A3" s="7"/>
      <x:c r="B3" s="7" t="s">
        <x:v>10</x:v>
      </x:c>
      <x:c r="C3" s="7"/>
      <x:c r="D3" s="8">
        <x:v>37397000</x:v>
      </x:c>
      <x:c r="E3" s="9">
        <x:v>49.0131061598952</x:v>
      </x:c>
      <x:c r="F3" s="8">
        <x:v>37397000</x:v>
      </x:c>
      <x:c r="G3" s="9">
        <x:v>49.0131061598952</x:v>
      </x:c>
      <x:c r="H3" s="7" t="s">
        <x:v>10</x:v>
      </x:c>
    </x:row>
    <x:row r="4" spans="1:12">
      <x:c r="A4" s="4" t="s">
        <x:v>11</x:v>
      </x:c>
      <x:c r="B4" s="4"/>
      <x:c r="C4" s="4" t="s">
        <x:v>9</x:v>
      </x:c>
      <x:c r="D4" s="5">
        <x:v>11803000</x:v>
      </x:c>
      <x:c r="E4" s="6">
        <x:v>15.4692005242464</x:v>
      </x:c>
      <x:c r="F4" s="5">
        <x:v>11803000</x:v>
      </x:c>
      <x:c r="G4" s="6">
        <x:v>15.4692005242464</x:v>
      </x:c>
      <x:c r="H4" s="4"/>
    </x:row>
    <x:row r="5" spans="1:12">
      <x:c r="A5" s="7"/>
      <x:c r="B5" s="7" t="s">
        <x:v>10</x:v>
      </x:c>
      <x:c r="C5" s="7"/>
      <x:c r="D5" s="8">
        <x:v>11803000</x:v>
      </x:c>
      <x:c r="E5" s="9">
        <x:v>15.4692005242464</x:v>
      </x:c>
      <x:c r="F5" s="8">
        <x:v>11803000</x:v>
      </x:c>
      <x:c r="G5" s="9">
        <x:v>15.4692005242464</x:v>
      </x:c>
      <x:c r="H5" s="7" t="s">
        <x:v>10</x:v>
      </x:c>
    </x:row>
    <x:row r="6" spans="1:12">
      <x:c r="A6" s="4" t="s">
        <x:v>12</x:v>
      </x:c>
      <x:c r="B6" s="4"/>
      <x:c r="C6" s="4" t="s">
        <x:v>13</x:v>
      </x:c>
      <x:c r="D6" s="5">
        <x:v>10800000</x:v>
      </x:c>
      <x:c r="E6" s="6">
        <x:v>14.1546526867628</x:v>
      </x:c>
      <x:c r="F6" s="5">
        <x:v>10800000</x:v>
      </x:c>
      <x:c r="G6" s="6">
        <x:v>14.1546526867628</x:v>
      </x:c>
      <x:c r="H6" s="4"/>
    </x:row>
    <x:row r="7" spans="1:12">
      <x:c r="A7" s="7"/>
      <x:c r="B7" s="7" t="s">
        <x:v>10</x:v>
      </x:c>
      <x:c r="C7" s="7"/>
      <x:c r="D7" s="8">
        <x:v>10800000</x:v>
      </x:c>
      <x:c r="E7" s="9">
        <x:v>14.1546526867628</x:v>
      </x:c>
      <x:c r="F7" s="8">
        <x:v>10800000</x:v>
      </x:c>
      <x:c r="G7" s="9">
        <x:v>14.1546526867628</x:v>
      </x:c>
      <x:c r="H7" s="7" t="s">
        <x:v>10</x:v>
      </x:c>
    </x:row>
    <x:row r="8" spans="1:12">
      <x:c r="A8" s="4" t="s">
        <x:v>14</x:v>
      </x:c>
      <x:c r="B8" s="4"/>
      <x:c r="C8" s="4" t="s">
        <x:v>13</x:v>
      </x:c>
      <x:c r="D8" s="5">
        <x:v>8300000</x:v>
      </x:c>
      <x:c r="E8" s="6">
        <x:v>10.8781127129751</x:v>
      </x:c>
      <x:c r="F8" s="5">
        <x:v>8300000</x:v>
      </x:c>
      <x:c r="G8" s="6">
        <x:v>10.8781127129751</x:v>
      </x:c>
      <x:c r="H8" s="4"/>
    </x:row>
    <x:row r="9" spans="1:12">
      <x:c r="A9" s="7"/>
      <x:c r="B9" s="7" t="s">
        <x:v>10</x:v>
      </x:c>
      <x:c r="C9" s="7"/>
      <x:c r="D9" s="8">
        <x:v>8300000</x:v>
      </x:c>
      <x:c r="E9" s="9">
        <x:v>10.8781127129751</x:v>
      </x:c>
      <x:c r="F9" s="8">
        <x:v>8300000</x:v>
      </x:c>
      <x:c r="G9" s="9">
        <x:v>10.8781127129751</x:v>
      </x:c>
      <x:c r="H9" s="7" t="s">
        <x:v>10</x:v>
      </x:c>
    </x:row>
    <x:row r="10" spans="1:12">
      <x:c r="A10" s="4" t="s">
        <x:v>15</x:v>
      </x:c>
      <x:c r="B10" s="4"/>
      <x:c r="C10" s="4" t="s">
        <x:v>16</x:v>
      </x:c>
      <x:c r="D10" s="5">
        <x:v>2000000</x:v>
      </x:c>
      <x:c r="E10" s="6">
        <x:v>2.62123197903014</x:v>
      </x:c>
      <x:c r="F10" s="5">
        <x:v>2000000</x:v>
      </x:c>
      <x:c r="G10" s="6">
        <x:v>2.62123197903014</x:v>
      </x:c>
      <x:c r="H10" s="4"/>
    </x:row>
    <x:row r="11" spans="1:12">
      <x:c r="A11" s="7"/>
      <x:c r="B11" s="7" t="s">
        <x:v>10</x:v>
      </x:c>
      <x:c r="C11" s="7"/>
      <x:c r="D11" s="8">
        <x:v>2000000</x:v>
      </x:c>
      <x:c r="E11" s="9">
        <x:v>2.62123197903014</x:v>
      </x:c>
      <x:c r="F11" s="8">
        <x:v>2000000</x:v>
      </x:c>
      <x:c r="G11" s="9">
        <x:v>2.62123197903014</x:v>
      </x:c>
      <x:c r="H11" s="7" t="s">
        <x:v>10</x:v>
      </x:c>
    </x:row>
    <x:row r="12" spans="1:12">
      <x:c r="A12" s="4" t="s">
        <x:v>17</x:v>
      </x:c>
      <x:c r="B12" s="4"/>
      <x:c r="C12" s="4" t="s">
        <x:v>18</x:v>
      </x:c>
      <x:c r="D12" s="5">
        <x:v>2000000</x:v>
      </x:c>
      <x:c r="E12" s="6">
        <x:v>2.62123197903014</x:v>
      </x:c>
      <x:c r="F12" s="5">
        <x:v>2000000</x:v>
      </x:c>
      <x:c r="G12" s="6">
        <x:v>2.62123197903014</x:v>
      </x:c>
      <x:c r="H12" s="4"/>
    </x:row>
    <x:row r="13" spans="1:12">
      <x:c r="A13" s="7"/>
      <x:c r="B13" s="7" t="s">
        <x:v>10</x:v>
      </x:c>
      <x:c r="C13" s="7"/>
      <x:c r="D13" s="8">
        <x:v>2000000</x:v>
      </x:c>
      <x:c r="E13" s="9">
        <x:v>2.62123197903014</x:v>
      </x:c>
      <x:c r="F13" s="8">
        <x:v>2000000</x:v>
      </x:c>
      <x:c r="G13" s="9">
        <x:v>2.62123197903014</x:v>
      </x:c>
      <x:c r="H13" s="7" t="s">
        <x:v>10</x:v>
      </x:c>
    </x:row>
    <x:row r="14" spans="1:12">
      <x:c r="A14" s="4" t="s">
        <x:v>19</x:v>
      </x:c>
      <x:c r="B14" s="4"/>
      <x:c r="C14" s="4" t="s">
        <x:v>18</x:v>
      </x:c>
      <x:c r="D14" s="5">
        <x:v>1000000</x:v>
      </x:c>
      <x:c r="E14" s="6">
        <x:v>1.31061598951507</x:v>
      </x:c>
      <x:c r="F14" s="5">
        <x:v>1000000</x:v>
      </x:c>
      <x:c r="G14" s="6">
        <x:v>1.31061598951507</x:v>
      </x:c>
      <x:c r="H14" s="4"/>
    </x:row>
    <x:row r="15" spans="1:12">
      <x:c r="A15" s="7"/>
      <x:c r="B15" s="7" t="s">
        <x:v>10</x:v>
      </x:c>
      <x:c r="C15" s="7"/>
      <x:c r="D15" s="8">
        <x:v>1000000</x:v>
      </x:c>
      <x:c r="E15" s="9">
        <x:v>1.31061598951507</x:v>
      </x:c>
      <x:c r="F15" s="8">
        <x:v>1000000</x:v>
      </x:c>
      <x:c r="G15" s="9">
        <x:v>1.31061598951507</x:v>
      </x:c>
      <x:c r="H15" s="7" t="s">
        <x:v>10</x:v>
      </x:c>
    </x:row>
    <x:row r="16" spans="1:12">
      <x:c r="A16" s="4" t="s">
        <x:v>20</x:v>
      </x:c>
      <x:c r="B16" s="4"/>
      <x:c r="C16" s="4" t="s">
        <x:v>18</x:v>
      </x:c>
      <x:c r="D16" s="5">
        <x:v>1000000</x:v>
      </x:c>
      <x:c r="E16" s="6">
        <x:v>1.31061598951507</x:v>
      </x:c>
      <x:c r="F16" s="5">
        <x:v>1000000</x:v>
      </x:c>
      <x:c r="G16" s="6">
        <x:v>1.31061598951507</x:v>
      </x:c>
      <x:c r="H16" s="4"/>
    </x:row>
    <x:row r="17" spans="1:12">
      <x:c r="A17" s="7"/>
      <x:c r="B17" s="7" t="s">
        <x:v>10</x:v>
      </x:c>
      <x:c r="C17" s="7"/>
      <x:c r="D17" s="8">
        <x:v>1000000</x:v>
      </x:c>
      <x:c r="E17" s="9">
        <x:v>1.31061598951507</x:v>
      </x:c>
      <x:c r="F17" s="8">
        <x:v>1000000</x:v>
      </x:c>
      <x:c r="G17" s="9">
        <x:v>1.31061598951507</x:v>
      </x:c>
      <x:c r="H17" s="7" t="s">
        <x:v>10</x:v>
      </x:c>
    </x:row>
    <x:row r="18" spans="1:12">
      <x:c r="A18" s="4" t="s">
        <x:v>21</x:v>
      </x:c>
      <x:c r="B18" s="4"/>
      <x:c r="C18" s="4" t="s">
        <x:v>18</x:v>
      </x:c>
      <x:c r="D18" s="5">
        <x:v>1000000</x:v>
      </x:c>
      <x:c r="E18" s="6">
        <x:v>1.31061598951507</x:v>
      </x:c>
      <x:c r="F18" s="5">
        <x:v>1000000</x:v>
      </x:c>
      <x:c r="G18" s="6">
        <x:v>1.31061598951507</x:v>
      </x:c>
      <x:c r="H18" s="4"/>
    </x:row>
    <x:row r="19" spans="1:12">
      <x:c r="A19" s="7"/>
      <x:c r="B19" s="7" t="s">
        <x:v>10</x:v>
      </x:c>
      <x:c r="C19" s="7"/>
      <x:c r="D19" s="8">
        <x:v>1000000</x:v>
      </x:c>
      <x:c r="E19" s="9">
        <x:v>1.31061598951507</x:v>
      </x:c>
      <x:c r="F19" s="8">
        <x:v>1000000</x:v>
      </x:c>
      <x:c r="G19" s="9">
        <x:v>1.31061598951507</x:v>
      </x:c>
      <x:c r="H19" s="7" t="s">
        <x:v>10</x:v>
      </x:c>
    </x:row>
    <x:row r="20" spans="1:12">
      <x:c r="A20" s="4" t="s">
        <x:v>22</x:v>
      </x:c>
      <x:c r="B20" s="4"/>
      <x:c r="C20" s="4" t="s">
        <x:v>16</x:v>
      </x:c>
      <x:c r="D20" s="5">
        <x:v>1000000</x:v>
      </x:c>
      <x:c r="E20" s="6">
        <x:v>1.31061598951507</x:v>
      </x:c>
      <x:c r="F20" s="5">
        <x:v>1000000</x:v>
      </x:c>
      <x:c r="G20" s="6">
        <x:v>1.31061598951507</x:v>
      </x:c>
      <x:c r="H20" s="4"/>
    </x:row>
    <x:row r="21" spans="1:12">
      <x:c r="A21" s="7"/>
      <x:c r="B21" s="7" t="s">
        <x:v>10</x:v>
      </x:c>
      <x:c r="C21" s="7"/>
      <x:c r="D21" s="8">
        <x:v>1000000</x:v>
      </x:c>
      <x:c r="E21" s="9">
        <x:v>1.31061598951507</x:v>
      </x:c>
      <x:c r="F21" s="8">
        <x:v>1000000</x:v>
      </x:c>
      <x:c r="G21" s="9">
        <x:v>1.31061598951507</x:v>
      </x:c>
      <x:c r="H21" s="7" t="s">
        <x:v>10</x:v>
      </x:c>
    </x:row>
    <x:row r="22" spans="1:12">
      <x:c r="A22" s="1" t="s">
        <x:v>23</x:v>
      </x:c>
      <x:c r="B22" s="2"/>
      <x:c r="C22" s="2"/>
      <x:c r="D22" s="10">
        <x:v>76300000</x:v>
      </x:c>
      <x:c r="E22" s="11">
        <x:v>100</x:v>
      </x:c>
      <x:c r="F22" s="10">
        <x:v>76300000</x:v>
      </x:c>
      <x:c r="G22" s="11">
        <x:v>100</x:v>
      </x:c>
      <x:c r="H22" s="3"/>
    </x:row>
    <x:row r="23" spans="1:12">
      <x:c r="A23" s="12" t="s">
        <x:v>24</x:v>
      </x:c>
    </x:row>
    <x:row r="24" spans="1:12">
      <x:c r="A24" s="0" t="s">
        <x:v>25</x:v>
      </x:c>
    </x:row>
    <x:row r="26" spans="1:12">
      <x:c r="A26" s="13" t="s">
        <x:v>26</x:v>
      </x:c>
      <x:c r="B26" s="14"/>
      <x:c r="C26" s="14"/>
      <x:c r="D26" s="14"/>
      <x:c r="E26" s="14"/>
      <x:c r="F26" s="14"/>
      <x:c r="G26" s="14"/>
      <x:c r="H26" s="14"/>
      <x:c r="I26" s="14"/>
      <x:c r="J26" s="14"/>
      <x:c r="K26" s="14"/>
      <x:c r="L26" s="14"/>
    </x:row>
    <x:row r="27" spans="1:12">
      <x:c r="A27" s="13" t="s">
        <x:v>27</x:v>
      </x:c>
      <x:c r="B27" s="14"/>
      <x:c r="C27" s="14"/>
      <x:c r="D27" s="14"/>
      <x:c r="E27" s="14"/>
      <x:c r="F27" s="14"/>
      <x:c r="G27" s="14"/>
      <x:c r="H27" s="14"/>
      <x:c r="I27" s="14"/>
      <x:c r="J27" s="14"/>
      <x:c r="K27" s="14"/>
      <x:c r="L27" s="14"/>
    </x:row>
    <x:row r="28" spans="1:12">
      <x:c r="A28" s="13" t="s">
        <x:v>28</x:v>
      </x:c>
      <x:c r="B28" s="14"/>
      <x:c r="C28" s="14"/>
      <x:c r="D28" s="14"/>
      <x:c r="E28" s="14"/>
      <x:c r="F28" s="14"/>
      <x:c r="G28" s="14"/>
      <x:c r="H28" s="14"/>
      <x:c r="I28" s="14"/>
      <x:c r="J28" s="14"/>
      <x:c r="K28" s="14"/>
      <x:c r="L28" s="14"/>
    </x:row>
    <x:row r="29" spans="1:12">
      <x:c r="A29" s="13" t="s">
        <x:v>29</x:v>
      </x:c>
      <x:c r="B29" s="14"/>
      <x:c r="C29" s="14"/>
      <x:c r="D29" s="14"/>
      <x:c r="E29" s="14"/>
      <x:c r="F29" s="14"/>
      <x:c r="G29" s="14"/>
      <x:c r="H29" s="14"/>
      <x:c r="I29" s="14"/>
      <x:c r="J29" s="14"/>
      <x:c r="K29" s="14"/>
      <x:c r="L29" s="14"/>
    </x:row>
    <x:row r="30" spans="1:12">
      <x:c r="A30" s="13" t="s">
        <x:v>30</x:v>
      </x:c>
      <x:c r="B30" s="14"/>
      <x:c r="C30" s="14"/>
      <x:c r="D30" s="14"/>
      <x:c r="E30" s="14"/>
      <x:c r="F30" s="14"/>
      <x:c r="G30" s="14"/>
      <x:c r="H30" s="14"/>
      <x:c r="I30" s="14"/>
      <x:c r="J30" s="14"/>
      <x:c r="K30" s="14"/>
      <x:c r="L30" s="14"/>
    </x:row>
    <x:row r="31" spans="1:12">
      <x:c r="A31" s="13" t="s">
        <x:v>31</x:v>
      </x:c>
      <x:c r="B31" s="14"/>
      <x:c r="C31" s="14"/>
      <x:c r="D31" s="14"/>
      <x:c r="E31" s="14"/>
      <x:c r="F31" s="14"/>
      <x:c r="G31" s="14"/>
      <x:c r="H31" s="14"/>
      <x:c r="I31" s="14"/>
      <x:c r="J31" s="14"/>
      <x:c r="K31" s="14"/>
      <x:c r="L31" s="14"/>
    </x:row>
    <x:row r="32" spans="1:12">
      <x:c r="A32" s="13" t="s">
        <x:v>32</x:v>
      </x:c>
      <x:c r="B32" s="14"/>
      <x:c r="C32" s="14"/>
      <x:c r="D32" s="14"/>
      <x:c r="E32" s="14"/>
      <x:c r="F32" s="14"/>
      <x:c r="G32" s="14"/>
      <x:c r="H32" s="14"/>
      <x:c r="I32" s="14"/>
      <x:c r="J32" s="14"/>
      <x:c r="K32" s="14"/>
      <x:c r="L32" s="14"/>
    </x:row>
    <x:row r="33" spans="1:12">
      <x:c r="A33" s="13" t="s">
        <x:v>33</x:v>
      </x:c>
      <x:c r="B33" s="14"/>
      <x:c r="C33" s="14"/>
      <x:c r="D33" s="14"/>
      <x:c r="E33" s="14"/>
      <x:c r="F33" s="14"/>
      <x:c r="G33" s="14"/>
      <x:c r="H33" s="14"/>
      <x:c r="I33" s="14"/>
      <x:c r="J33" s="14"/>
      <x:c r="K33" s="14"/>
      <x:c r="L33" s="14"/>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L17"/>
  <x:sheetViews>
    <x:sheetView showGridLines="0" workbookViewId="0"/>
  </x:sheetViews>
  <x:sheetFormatPr defaultRowHeight="15"/>
  <x:cols>
    <x:col min="1" max="1" width="50.853482" style="0" customWidth="1"/>
    <x:col min="2" max="2" width="14.710625" style="0" customWidth="1"/>
    <x:col min="3" max="3" width="13.282054" style="0" customWidth="1"/>
    <x:col min="4" max="4" width="14.139196" style="0" customWidth="1"/>
    <x:col min="5" max="5" width="13.282054" style="0" customWidth="1"/>
    <x:col min="6" max="6" width="13.996339" style="0" customWidth="1"/>
    <x:col min="7" max="7" width="13.282054" style="0" customWidth="1"/>
    <x:col min="8" max="8" width="8.710625" style="0" customWidth="1"/>
    <x:col min="9" max="9" width="17.853482" style="15" customWidth="1"/>
    <x:col min="10" max="10" width="9.424911" style="0" hidden="1" customWidth="1"/>
  </x:cols>
  <x:sheetData>
    <x:row r="1" spans="1:12" ht="30" customHeight="1">
      <x:c r="A1" s="1" t="s">
        <x:v>0</x:v>
      </x:c>
      <x:c r="B1" s="2" t="s">
        <x:v>1</x:v>
      </x:c>
      <x:c r="C1" s="2" t="s">
        <x:v>3</x:v>
      </x:c>
      <x:c r="D1" s="2" t="s">
        <x:v>4</x:v>
      </x:c>
      <x:c r="E1" s="2" t="s">
        <x:v>5</x:v>
      </x:c>
      <x:c r="F1" s="2" t="s">
        <x:v>6</x:v>
      </x:c>
      <x:c r="G1" s="2" t="s">
        <x:v>34</x:v>
      </x:c>
      <x:c r="H1" s="2" t="s">
        <x:v>35</x:v>
      </x:c>
      <x:c r="I1" s="16" t="s">
        <x:v>36</x:v>
      </x:c>
      <x:c r="J1" s="3" t="s">
        <x:v>37</x:v>
      </x:c>
    </x:row>
    <x:row r="2" spans="1:12">
      <x:c r="A2" s="4" t="s">
        <x:v>10</x:v>
      </x:c>
      <x:c r="B2" s="4" t="s">
        <x:v>10</x:v>
      </x:c>
      <x:c r="C2" s="6">
        <x:v>76300000</x:v>
      </x:c>
      <x:c r="D2" s="6">
        <x:v>100</x:v>
      </x:c>
      <x:c r="E2" s="6">
        <x:v>76300000</x:v>
      </x:c>
      <x:c r="F2" s="6">
        <x:v>100</x:v>
      </x:c>
      <x:c r="G2" s="6">
        <x:v>76300000</x:v>
      </x:c>
      <x:c r="H2" s="6">
        <x:v>100</x:v>
      </x:c>
      <x:c r="I2" s="17">
        <x:v>492000000</x:v>
      </x:c>
      <x:c r="J2" s="4" t="s">
        <x:v>38</x:v>
      </x:c>
    </x:row>
    <x:row r="3" spans="1:12">
      <x:c r="A3" s="1" t="s">
        <x:v>23</x:v>
      </x:c>
      <x:c r="B3" s="2"/>
      <x:c r="C3" s="11">
        <x:v>76300000</x:v>
      </x:c>
      <x:c r="D3" s="11">
        <x:v>100</x:v>
      </x:c>
      <x:c r="E3" s="11">
        <x:v>76300000</x:v>
      </x:c>
      <x:c r="F3" s="11">
        <x:v>100</x:v>
      </x:c>
      <x:c r="G3" s="11">
        <x:v>76300000</x:v>
      </x:c>
      <x:c r="H3" s="11">
        <x:v>100</x:v>
      </x:c>
      <x:c r="I3" s="16">
        <x:v>492000000</x:v>
      </x:c>
      <x:c r="J3" s="3" t="s"/>
    </x:row>
    <x:row r="4" spans="1:12">
      <x:c r="A4" s="12" t="s">
        <x:v>24</x:v>
      </x:c>
    </x:row>
    <x:row r="5" spans="1:12">
      <x:c r="A5" s="0" t="s">
        <x:v>25</x:v>
      </x:c>
    </x:row>
    <x:row r="10" spans="1:12">
      <x:c r="A10" s="13" t="s">
        <x:v>26</x:v>
      </x:c>
      <x:c r="B10" s="14"/>
      <x:c r="C10" s="14"/>
      <x:c r="D10" s="14"/>
      <x:c r="E10" s="14"/>
      <x:c r="F10" s="14"/>
      <x:c r="G10" s="14"/>
      <x:c r="H10" s="14"/>
      <x:c r="I10" s="18"/>
      <x:c r="J10" s="14"/>
      <x:c r="K10" s="14"/>
      <x:c r="L10" s="14"/>
    </x:row>
    <x:row r="11" spans="1:12">
      <x:c r="A11" s="13" t="s">
        <x:v>27</x:v>
      </x:c>
      <x:c r="B11" s="14"/>
      <x:c r="C11" s="14"/>
      <x:c r="D11" s="14"/>
      <x:c r="E11" s="14"/>
      <x:c r="F11" s="14"/>
      <x:c r="G11" s="14"/>
      <x:c r="H11" s="14"/>
      <x:c r="I11" s="18"/>
      <x:c r="J11" s="14"/>
      <x:c r="K11" s="14"/>
      <x:c r="L11" s="14"/>
    </x:row>
    <x:row r="12" spans="1:12">
      <x:c r="A12" s="13" t="s">
        <x:v>28</x:v>
      </x:c>
      <x:c r="B12" s="14"/>
      <x:c r="C12" s="14"/>
      <x:c r="D12" s="14"/>
      <x:c r="E12" s="14"/>
      <x:c r="F12" s="14"/>
      <x:c r="G12" s="14"/>
      <x:c r="H12" s="14"/>
      <x:c r="I12" s="18"/>
      <x:c r="J12" s="14"/>
      <x:c r="K12" s="14"/>
      <x:c r="L12" s="14"/>
    </x:row>
    <x:row r="13" spans="1:12">
      <x:c r="A13" s="13" t="s">
        <x:v>29</x:v>
      </x:c>
      <x:c r="B13" s="14"/>
      <x:c r="C13" s="14"/>
      <x:c r="D13" s="14"/>
      <x:c r="E13" s="14"/>
      <x:c r="F13" s="14"/>
      <x:c r="G13" s="14"/>
      <x:c r="H13" s="14"/>
      <x:c r="I13" s="18"/>
      <x:c r="J13" s="14"/>
      <x:c r="K13" s="14"/>
      <x:c r="L13" s="14"/>
    </x:row>
    <x:row r="14" spans="1:12">
      <x:c r="A14" s="13" t="s">
        <x:v>30</x:v>
      </x:c>
      <x:c r="B14" s="14"/>
      <x:c r="C14" s="14"/>
      <x:c r="D14" s="14"/>
      <x:c r="E14" s="14"/>
      <x:c r="F14" s="14"/>
      <x:c r="G14" s="14"/>
      <x:c r="H14" s="14"/>
      <x:c r="I14" s="18"/>
      <x:c r="J14" s="14"/>
      <x:c r="K14" s="14"/>
      <x:c r="L14" s="14"/>
    </x:row>
    <x:row r="15" spans="1:12">
      <x:c r="A15" s="13" t="s">
        <x:v>31</x:v>
      </x:c>
      <x:c r="B15" s="14"/>
      <x:c r="C15" s="14"/>
      <x:c r="D15" s="14"/>
      <x:c r="E15" s="14"/>
      <x:c r="F15" s="14"/>
      <x:c r="G15" s="14"/>
      <x:c r="H15" s="14"/>
      <x:c r="I15" s="18"/>
      <x:c r="J15" s="14"/>
      <x:c r="K15" s="14"/>
      <x:c r="L15" s="14"/>
    </x:row>
    <x:row r="16" spans="1:12">
      <x:c r="A16" s="13" t="s">
        <x:v>32</x:v>
      </x:c>
      <x:c r="B16" s="14"/>
      <x:c r="C16" s="14"/>
      <x:c r="D16" s="14"/>
      <x:c r="E16" s="14"/>
      <x:c r="F16" s="14"/>
      <x:c r="G16" s="14"/>
      <x:c r="H16" s="14"/>
      <x:c r="I16" s="18"/>
      <x:c r="J16" s="14"/>
      <x:c r="K16" s="14"/>
      <x:c r="L16" s="14"/>
    </x:row>
    <x:row r="17" spans="1:12">
      <x:c r="A17" s="13" t="s">
        <x:v>33</x:v>
      </x:c>
      <x:c r="B17" s="14"/>
      <x:c r="C17" s="14"/>
      <x:c r="D17" s="14"/>
      <x:c r="E17" s="14"/>
      <x:c r="F17" s="14"/>
      <x:c r="G17" s="14"/>
      <x:c r="H17" s="14"/>
      <x:c r="I17" s="18"/>
      <x:c r="J17" s="14"/>
      <x:c r="K17" s="14"/>
      <x:c r="L17" s="14"/>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R14"/>
  <x:sheetViews>
    <x:sheetView showGridLines="0" workbookViewId="0"/>
  </x:sheetViews>
  <x:sheetFormatPr defaultRowHeight="15"/>
  <x:cols>
    <x:col min="1" max="2" width="16.710625" style="0" customWidth="1"/>
    <x:col min="3" max="3" width="17.567768" style="0" customWidth="1"/>
    <x:col min="4" max="4" width="32.139196" style="0" customWidth="1"/>
    <x:col min="5" max="5" width="48.139196" style="0" customWidth="1"/>
    <x:col min="6" max="6" width="24.710625" style="0" customWidth="1"/>
    <x:col min="7" max="7" width="12.996339" style="0" customWidth="1"/>
    <x:col min="8" max="8" width="20.282054" style="0" customWidth="1"/>
    <x:col min="9" max="11" width="13.710625" style="0" customWidth="1"/>
    <x:col min="12" max="12" width="4.282054" style="0" customWidth="1"/>
    <x:col min="13" max="13" width="5.424911" style="0" customWidth="1"/>
    <x:col min="14" max="14" width="12.996339" style="0" customWidth="1"/>
    <x:col min="15" max="15" width="8.282054" style="0" customWidth="1"/>
    <x:col min="16" max="16" width="6.139196" style="0" customWidth="1"/>
    <x:col min="17" max="17" width="11.282054" style="0" customWidth="1"/>
    <x:col min="18" max="18" width="6.567768" style="0" customWidth="1"/>
  </x:cols>
  <x:sheetData>
    <x:row r="1" spans="1:18">
      <x:c r="A1" s="1" t="s">
        <x:v>45</x:v>
      </x:c>
      <x:c r="B1" s="2" t="s">
        <x:v>46</x:v>
      </x:c>
      <x:c r="C1" s="2" t="s">
        <x:v>47</x:v>
      </x:c>
      <x:c r="D1" s="2" t="s">
        <x:v>48</x:v>
      </x:c>
      <x:c r="E1" s="2" t="s">
        <x:v>49</x:v>
      </x:c>
      <x:c r="F1" s="2" t="s">
        <x:v>50</x:v>
      </x:c>
      <x:c r="G1" s="2" t="s">
        <x:v>51</x:v>
      </x:c>
      <x:c r="H1" s="2" t="s">
        <x:v>52</x:v>
      </x:c>
      <x:c r="I1" s="2" t="s">
        <x:v>53</x:v>
      </x:c>
      <x:c r="J1" s="2" t="s">
        <x:v>54</x:v>
      </x:c>
      <x:c r="K1" s="2" t="s">
        <x:v>55</x:v>
      </x:c>
      <x:c r="L1" s="2" t="s">
        <x:v>56</x:v>
      </x:c>
      <x:c r="M1" s="2" t="s">
        <x:v>57</x:v>
      </x:c>
      <x:c r="N1" s="2" t="s">
        <x:v>58</x:v>
      </x:c>
      <x:c r="O1" s="2" t="s">
        <x:v>59</x:v>
      </x:c>
      <x:c r="P1" s="2" t="s">
        <x:v>60</x:v>
      </x:c>
      <x:c r="Q1" s="2" t="s">
        <x:v>61</x:v>
      </x:c>
      <x:c r="R1" s="3" t="s">
        <x:v>62</x:v>
      </x:c>
    </x:row>
    <x:row r="2" spans="1:18">
      <x:c r="A2" s="7" t="s">
        <x:v>63</x:v>
      </x:c>
      <x:c r="B2" s="7"/>
      <x:c r="C2" s="7" t="s">
        <x:v>11</x:v>
      </x:c>
      <x:c r="D2" s="7" t="s"/>
      <x:c r="E2" s="7" t="s">
        <x:v>64</x:v>
      </x:c>
      <x:c r="F2" s="7" t="s">
        <x:v>65</x:v>
      </x:c>
      <x:c r="G2" s="7" t="s">
        <x:v>66</x:v>
      </x:c>
      <x:c r="H2" s="7" t="s">
        <x:v>9</x:v>
      </x:c>
      <x:c r="I2" s="7"/>
      <x:c r="J2" s="7"/>
      <x:c r="K2" s="7"/>
      <x:c r="L2" s="7"/>
      <x:c r="M2" s="7"/>
      <x:c r="N2" s="7"/>
      <x:c r="O2" s="7"/>
      <x:c r="P2" s="7"/>
      <x:c r="Q2" s="7"/>
      <x:c r="R2" s="7" t="s">
        <x:v>67</x:v>
      </x:c>
    </x:row>
    <x:row r="3" spans="1:18">
      <x:c r="A3" s="7" t="s">
        <x:v>63</x:v>
      </x:c>
      <x:c r="B3" s="7"/>
      <x:c r="C3" s="7" t="s">
        <x:v>8</x:v>
      </x:c>
      <x:c r="D3" s="7" t="s"/>
      <x:c r="E3" s="7" t="s">
        <x:v>68</x:v>
      </x:c>
      <x:c r="F3" s="7" t="s">
        <x:v>65</x:v>
      </x:c>
      <x:c r="G3" s="7" t="s">
        <x:v>66</x:v>
      </x:c>
      <x:c r="H3" s="7" t="s">
        <x:v>9</x:v>
      </x:c>
      <x:c r="I3" s="7"/>
      <x:c r="J3" s="7"/>
      <x:c r="K3" s="7"/>
      <x:c r="L3" s="7"/>
      <x:c r="M3" s="7"/>
      <x:c r="N3" s="7"/>
      <x:c r="O3" s="7"/>
      <x:c r="P3" s="7"/>
      <x:c r="Q3" s="7"/>
      <x:c r="R3" s="7" t="s">
        <x:v>67</x:v>
      </x:c>
    </x:row>
    <x:row r="4" spans="1:18">
      <x:c r="A4" s="7" t="s">
        <x:v>69</x:v>
      </x:c>
      <x:c r="B4" s="7"/>
      <x:c r="C4" s="7" t="s"/>
      <x:c r="D4" s="7" t="s">
        <x:v>70</x:v>
      </x:c>
      <x:c r="E4" s="7" t="s">
        <x:v>71</x:v>
      </x:c>
      <x:c r="F4" s="7" t="s">
        <x:v>65</x:v>
      </x:c>
      <x:c r="G4" s="7" t="s">
        <x:v>66</x:v>
      </x:c>
      <x:c r="H4" s="7" t="s">
        <x:v>72</x:v>
      </x:c>
      <x:c r="I4" s="7"/>
      <x:c r="J4" s="7"/>
      <x:c r="K4" s="7"/>
      <x:c r="L4" s="7"/>
      <x:c r="M4" s="7"/>
      <x:c r="N4" s="7"/>
      <x:c r="O4" s="7"/>
      <x:c r="P4" s="7"/>
      <x:c r="Q4" s="7"/>
      <x:c r="R4" s="7" t="s">
        <x:v>67</x:v>
      </x:c>
    </x:row>
    <x:row r="5" spans="1:18">
      <x:c r="A5" s="7" t="s">
        <x:v>69</x:v>
      </x:c>
      <x:c r="B5" s="7"/>
      <x:c r="C5" s="7" t="s"/>
      <x:c r="D5" s="7" t="s">
        <x:v>14</x:v>
      </x:c>
      <x:c r="E5" s="7" t="s">
        <x:v>73</x:v>
      </x:c>
      <x:c r="F5" s="7" t="s">
        <x:v>65</x:v>
      </x:c>
      <x:c r="G5" s="7" t="s">
        <x:v>66</x:v>
      </x:c>
      <x:c r="H5" s="7" t="s">
        <x:v>13</x:v>
      </x:c>
      <x:c r="I5" s="7"/>
      <x:c r="J5" s="7"/>
      <x:c r="K5" s="7"/>
      <x:c r="L5" s="7"/>
      <x:c r="M5" s="7"/>
      <x:c r="N5" s="7"/>
      <x:c r="O5" s="7"/>
      <x:c r="P5" s="7"/>
      <x:c r="Q5" s="7"/>
      <x:c r="R5" s="7" t="s">
        <x:v>67</x:v>
      </x:c>
    </x:row>
    <x:row r="6" spans="1:18">
      <x:c r="A6" s="7" t="s">
        <x:v>69</x:v>
      </x:c>
      <x:c r="B6" s="7"/>
      <x:c r="C6" s="7" t="s"/>
      <x:c r="D6" s="7" t="s">
        <x:v>12</x:v>
      </x:c>
      <x:c r="E6" s="7" t="s">
        <x:v>74</x:v>
      </x:c>
      <x:c r="F6" s="7" t="s">
        <x:v>65</x:v>
      </x:c>
      <x:c r="G6" s="7" t="s">
        <x:v>66</x:v>
      </x:c>
      <x:c r="H6" s="7" t="s">
        <x:v>13</x:v>
      </x:c>
      <x:c r="I6" s="7"/>
      <x:c r="J6" s="7"/>
      <x:c r="K6" s="7"/>
      <x:c r="L6" s="7"/>
      <x:c r="M6" s="7"/>
      <x:c r="N6" s="7"/>
      <x:c r="O6" s="7"/>
      <x:c r="P6" s="7"/>
      <x:c r="Q6" s="7"/>
      <x:c r="R6" s="7" t="s">
        <x:v>67</x:v>
      </x:c>
    </x:row>
    <x:row r="7" spans="1:18">
      <x:c r="A7" s="7" t="s">
        <x:v>69</x:v>
      </x:c>
      <x:c r="B7" s="7"/>
      <x:c r="C7" s="7" t="s"/>
      <x:c r="D7" s="7" t="s">
        <x:v>21</x:v>
      </x:c>
      <x:c r="E7" s="7" t="s">
        <x:v>75</x:v>
      </x:c>
      <x:c r="F7" s="7" t="s">
        <x:v>76</x:v>
      </x:c>
      <x:c r="G7" s="7" t="s">
        <x:v>66</x:v>
      </x:c>
      <x:c r="H7" s="7" t="s">
        <x:v>18</x:v>
      </x:c>
      <x:c r="I7" s="7"/>
      <x:c r="J7" s="7"/>
      <x:c r="K7" s="7"/>
      <x:c r="L7" s="7"/>
      <x:c r="M7" s="7"/>
      <x:c r="N7" s="7"/>
      <x:c r="O7" s="7"/>
      <x:c r="P7" s="7"/>
      <x:c r="Q7" s="7"/>
      <x:c r="R7" s="7" t="s">
        <x:v>67</x:v>
      </x:c>
    </x:row>
    <x:row r="8" spans="1:18">
      <x:c r="A8" s="7" t="s">
        <x:v>69</x:v>
      </x:c>
      <x:c r="B8" s="7"/>
      <x:c r="C8" s="7" t="s"/>
      <x:c r="D8" s="7" t="s">
        <x:v>19</x:v>
      </x:c>
      <x:c r="E8" s="7" t="s">
        <x:v>77</x:v>
      </x:c>
      <x:c r="F8" s="7" t="s">
        <x:v>76</x:v>
      </x:c>
      <x:c r="G8" s="7" t="s">
        <x:v>66</x:v>
      </x:c>
      <x:c r="H8" s="7" t="s">
        <x:v>18</x:v>
      </x:c>
      <x:c r="I8" s="7"/>
      <x:c r="J8" s="7"/>
      <x:c r="K8" s="7"/>
      <x:c r="L8" s="7"/>
      <x:c r="M8" s="7"/>
      <x:c r="N8" s="7"/>
      <x:c r="O8" s="7"/>
      <x:c r="P8" s="7"/>
      <x:c r="Q8" s="7"/>
      <x:c r="R8" s="7" t="s">
        <x:v>67</x:v>
      </x:c>
    </x:row>
    <x:row r="9" spans="1:18">
      <x:c r="A9" s="7" t="s">
        <x:v>69</x:v>
      </x:c>
      <x:c r="B9" s="7"/>
      <x:c r="C9" s="7" t="s"/>
      <x:c r="D9" s="7" t="s">
        <x:v>17</x:v>
      </x:c>
      <x:c r="E9" s="7" t="s">
        <x:v>78</x:v>
      </x:c>
      <x:c r="F9" s="7" t="s">
        <x:v>76</x:v>
      </x:c>
      <x:c r="G9" s="7" t="s">
        <x:v>66</x:v>
      </x:c>
      <x:c r="H9" s="7" t="s">
        <x:v>18</x:v>
      </x:c>
      <x:c r="I9" s="7"/>
      <x:c r="J9" s="7"/>
      <x:c r="K9" s="7"/>
      <x:c r="L9" s="7"/>
      <x:c r="M9" s="7"/>
      <x:c r="N9" s="7"/>
      <x:c r="O9" s="7"/>
      <x:c r="P9" s="7"/>
      <x:c r="Q9" s="7"/>
      <x:c r="R9" s="7" t="s">
        <x:v>67</x:v>
      </x:c>
    </x:row>
    <x:row r="10" spans="1:18">
      <x:c r="A10" s="7" t="s">
        <x:v>69</x:v>
      </x:c>
      <x:c r="B10" s="7"/>
      <x:c r="C10" s="7" t="s"/>
      <x:c r="D10" s="7" t="s">
        <x:v>15</x:v>
      </x:c>
      <x:c r="E10" s="7" t="s">
        <x:v>79</x:v>
      </x:c>
      <x:c r="F10" s="7" t="s">
        <x:v>76</x:v>
      </x:c>
      <x:c r="G10" s="7" t="s">
        <x:v>66</x:v>
      </x:c>
      <x:c r="H10" s="7" t="s">
        <x:v>16</x:v>
      </x:c>
      <x:c r="I10" s="7"/>
      <x:c r="J10" s="7"/>
      <x:c r="K10" s="7"/>
      <x:c r="L10" s="7"/>
      <x:c r="M10" s="7"/>
      <x:c r="N10" s="7"/>
      <x:c r="O10" s="7"/>
      <x:c r="P10" s="7"/>
      <x:c r="Q10" s="7"/>
      <x:c r="R10" s="7" t="s">
        <x:v>67</x:v>
      </x:c>
    </x:row>
    <x:row r="11" spans="1:18">
      <x:c r="A11" s="7" t="s">
        <x:v>69</x:v>
      </x:c>
      <x:c r="B11" s="7"/>
      <x:c r="C11" s="7" t="s"/>
      <x:c r="D11" s="7" t="s">
        <x:v>20</x:v>
      </x:c>
      <x:c r="E11" s="7" t="s">
        <x:v>80</x:v>
      </x:c>
      <x:c r="F11" s="7" t="s">
        <x:v>76</x:v>
      </x:c>
      <x:c r="G11" s="7" t="s">
        <x:v>66</x:v>
      </x:c>
      <x:c r="H11" s="7" t="s">
        <x:v>18</x:v>
      </x:c>
      <x:c r="I11" s="7"/>
      <x:c r="J11" s="7"/>
      <x:c r="K11" s="7"/>
      <x:c r="L11" s="7"/>
      <x:c r="M11" s="7"/>
      <x:c r="N11" s="7"/>
      <x:c r="O11" s="7"/>
      <x:c r="P11" s="7"/>
      <x:c r="Q11" s="7"/>
      <x:c r="R11" s="7" t="s">
        <x:v>67</x:v>
      </x:c>
    </x:row>
    <x:row r="12" spans="1:18">
      <x:c r="A12" s="7" t="s">
        <x:v>69</x:v>
      </x:c>
      <x:c r="B12" s="7"/>
      <x:c r="C12" s="7" t="s"/>
      <x:c r="D12" s="7" t="s">
        <x:v>22</x:v>
      </x:c>
      <x:c r="E12" s="7" t="s">
        <x:v>81</x:v>
      </x:c>
      <x:c r="F12" s="7" t="s">
        <x:v>76</x:v>
      </x:c>
      <x:c r="G12" s="7" t="s">
        <x:v>66</x:v>
      </x:c>
      <x:c r="H12" s="7" t="s">
        <x:v>16</x:v>
      </x:c>
      <x:c r="I12" s="7"/>
      <x:c r="J12" s="7"/>
      <x:c r="K12" s="7"/>
      <x:c r="L12" s="7"/>
      <x:c r="M12" s="7"/>
      <x:c r="N12" s="7"/>
      <x:c r="O12" s="7"/>
      <x:c r="P12" s="7"/>
      <x:c r="Q12" s="7"/>
      <x:c r="R12" s="7" t="s">
        <x:v>67</x:v>
      </x:c>
    </x:row>
    <x:row r="13" spans="1:18">
      <x:c r="A13" s="12" t="s">
        <x:v>82</x:v>
      </x:c>
    </x:row>
    <x:row r="14" spans="1:18">
      <x:c r="A14" s="0" t="s">
        <x:v>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AL14"/>
  <x:sheetViews>
    <x:sheetView showGridLines="0" workbookViewId="0"/>
  </x:sheetViews>
  <x:sheetFormatPr defaultRowHeight="15"/>
  <x:cols>
    <x:col min="1" max="1" width="12.710625" style="0" customWidth="1"/>
    <x:col min="2" max="2" width="32.139196" style="0" customWidth="1"/>
    <x:col min="3" max="3" width="13.996339" style="0" customWidth="1"/>
    <x:col min="4" max="4" width="14.710625" style="0" customWidth="1"/>
    <x:col min="5" max="5" width="8.710625" style="0" customWidth="1"/>
    <x:col min="6" max="6" width="11.424911" style="0" customWidth="1"/>
    <x:col min="7" max="7" width="16.853482" style="0" customWidth="1"/>
    <x:col min="8" max="8" width="14.710625" style="0" customWidth="1"/>
    <x:col min="9" max="10" width="7.424911" style="0" customWidth="1"/>
    <x:col min="11" max="11" width="10.424911" style="0" customWidth="1"/>
    <x:col min="12" max="12" width="18.710625" style="0" customWidth="1"/>
    <x:col min="13" max="13" width="11.996339" style="0" customWidth="1"/>
    <x:col min="14" max="14" width="15.424911" style="0" customWidth="1"/>
    <x:col min="15" max="15" width="10.282054" style="0" customWidth="1"/>
    <x:col min="16" max="16" width="17.853482" style="0" customWidth="1"/>
    <x:col min="17" max="17" width="6.139196" style="0" customWidth="1"/>
    <x:col min="18" max="18" width="11.139196" style="0" customWidth="1"/>
    <x:col min="19" max="19" width="16.853482" style="0" customWidth="1"/>
    <x:col min="20" max="20" width="21.710625" style="0" customWidth="1"/>
    <x:col min="21" max="21" width="13.567768" style="0" customWidth="1"/>
    <x:col min="22" max="22" width="15.853482" style="0" customWidth="1"/>
    <x:col min="23" max="23" width="11.567768" style="0" customWidth="1"/>
    <x:col min="24" max="24" width="24.996339" style="0" customWidth="1"/>
    <x:col min="25" max="25" width="15.996339" style="0" customWidth="1"/>
    <x:col min="26" max="26" width="23.424911" style="0" customWidth="1"/>
    <x:col min="27" max="27" width="12.996339" style="0" customWidth="1"/>
    <x:col min="28" max="28" width="26.567768" style="0" customWidth="1"/>
    <x:col min="29" max="29" width="21.710625" style="0" customWidth="1"/>
    <x:col min="30" max="30" width="16.424911" style="0" customWidth="1"/>
    <x:col min="31" max="31" width="18.996339" style="0" customWidth="1"/>
    <x:col min="32" max="32" width="34.139196" style="0" customWidth="1"/>
    <x:col min="33" max="33" width="27.710625" style="0" customWidth="1"/>
    <x:col min="34" max="34" width="28.853482" style="0" customWidth="1"/>
    <x:col min="35" max="35" width="22.424911" style="0" customWidth="1"/>
    <x:col min="36" max="36" width="40.710625" style="0" customWidth="1"/>
    <x:col min="37" max="37" width="10.710625" style="0" customWidth="1"/>
    <x:col min="38" max="38" width="22.424911" style="0" customWidth="1"/>
  </x:cols>
  <x:sheetData>
    <x:row r="1" spans="1:38">
      <x:c r="A1" s="1" t="s">
        <x:v>83</x:v>
      </x:c>
      <x:c r="B1" s="2" t="s">
        <x:v>16</x:v>
      </x:c>
      <x:c r="C1" s="2" t="s">
        <x:v>84</x:v>
      </x:c>
      <x:c r="D1" s="2" t="s">
        <x:v>7</x:v>
      </x:c>
      <x:c r="E1" s="2" t="s">
        <x:v>85</x:v>
      </x:c>
      <x:c r="F1" s="2" t="s">
        <x:v>86</x:v>
      </x:c>
      <x:c r="G1" s="2" t="s">
        <x:v>87</x:v>
      </x:c>
      <x:c r="H1" s="2" t="s">
        <x:v>88</x:v>
      </x:c>
      <x:c r="I1" s="2" t="s">
        <x:v>89</x:v>
      </x:c>
      <x:c r="J1" s="2" t="s">
        <x:v>90</x:v>
      </x:c>
      <x:c r="K1" s="2" t="s">
        <x:v>91</x:v>
      </x:c>
      <x:c r="L1" s="2" t="s">
        <x:v>92</x:v>
      </x:c>
      <x:c r="M1" s="2" t="s">
        <x:v>93</x:v>
      </x:c>
      <x:c r="N1" s="2" t="s">
        <x:v>94</x:v>
      </x:c>
      <x:c r="O1" s="2" t="s">
        <x:v>95</x:v>
      </x:c>
      <x:c r="P1" s="2" t="s">
        <x:v>36</x:v>
      </x:c>
      <x:c r="Q1" s="2" t="s">
        <x:v>96</x:v>
      </x:c>
      <x:c r="R1" s="2" t="s">
        <x:v>97</x:v>
      </x:c>
      <x:c r="S1" s="2" t="s">
        <x:v>98</x:v>
      </x:c>
      <x:c r="T1" s="2" t="s">
        <x:v>99</x:v>
      </x:c>
      <x:c r="U1" s="2" t="s">
        <x:v>100</x:v>
      </x:c>
      <x:c r="V1" s="2" t="s">
        <x:v>101</x:v>
      </x:c>
      <x:c r="W1" s="2" t="s">
        <x:v>102</x:v>
      </x:c>
      <x:c r="X1" s="2" t="s">
        <x:v>103</x:v>
      </x:c>
      <x:c r="Y1" s="2" t="s">
        <x:v>104</x:v>
      </x:c>
      <x:c r="Z1" s="2" t="s">
        <x:v>105</x:v>
      </x:c>
      <x:c r="AA1" s="2" t="s">
        <x:v>106</x:v>
      </x:c>
      <x:c r="AB1" s="2" t="s">
        <x:v>107</x:v>
      </x:c>
      <x:c r="AC1" s="2" t="s">
        <x:v>108</x:v>
      </x:c>
      <x:c r="AD1" s="2" t="s">
        <x:v>109</x:v>
      </x:c>
      <x:c r="AE1" s="2" t="s">
        <x:v>110</x:v>
      </x:c>
      <x:c r="AF1" s="2" t="s">
        <x:v>111</x:v>
      </x:c>
      <x:c r="AG1" s="2" t="s">
        <x:v>112</x:v>
      </x:c>
      <x:c r="AH1" s="2" t="s">
        <x:v>113</x:v>
      </x:c>
      <x:c r="AI1" s="2" t="s">
        <x:v>114</x:v>
      </x:c>
      <x:c r="AJ1" s="2" t="s">
        <x:v>115</x:v>
      </x:c>
      <x:c r="AK1" s="2" t="s">
        <x:v>116</x:v>
      </x:c>
      <x:c r="AL1" s="3" t="s">
        <x:v>117</x:v>
      </x:c>
    </x:row>
    <x:row r="2" spans="1:38">
      <x:c r="A2" s="7" t="s">
        <x:v>118</x:v>
      </x:c>
      <x:c r="B2" s="7" t="s">
        <x:v>8</x:v>
      </x:c>
      <x:c r="C2" s="7"/>
      <x:c r="D2" s="7" t="s">
        <x:v>10</x:v>
      </x:c>
      <x:c r="E2" s="7" t="s">
        <x:v>119</x:v>
      </x:c>
      <x:c r="F2" s="29">
        <x:v>44350</x:v>
      </x:c>
      <x:c r="G2" s="7" t="s">
        <x:v>120</x:v>
      </x:c>
      <x:c r="H2" s="7" t="s"/>
      <x:c r="I2" s="7"/>
      <x:c r="J2" s="7"/>
      <x:c r="K2" s="8">
        <x:v>37397000</x:v>
      </x:c>
      <x:c r="L2" s="8">
        <x:v>37397000</x:v>
      </x:c>
      <x:c r="M2" s="7" t="s">
        <x:v>3</x:v>
      </x:c>
      <x:c r="N2" s="7"/>
      <x:c r="O2" s="30">
        <x:v>10</x:v>
      </x:c>
      <x:c r="P2" s="9">
        <x:v>373970000</x:v>
      </x:c>
      <x:c r="Q2" s="7"/>
      <x:c r="R2" s="7" t="s"/>
      <x:c r="S2" s="7"/>
      <x:c r="T2" s="7"/>
      <x:c r="U2" s="8" t="s"/>
      <x:c r="V2" s="8" t="s"/>
      <x:c r="W2" s="7"/>
      <x:c r="X2" s="8" t="s"/>
      <x:c r="Y2" s="7"/>
      <x:c r="Z2" s="8" t="s"/>
      <x:c r="AA2" s="7"/>
      <x:c r="AB2" s="7"/>
      <x:c r="AC2" s="8">
        <x:v>0</x:v>
      </x:c>
      <x:c r="AD2" s="7"/>
      <x:c r="AE2" s="7"/>
      <x:c r="AF2" s="8" t="s"/>
      <x:c r="AG2" s="7"/>
      <x:c r="AH2" s="8" t="s"/>
      <x:c r="AI2" s="7"/>
      <x:c r="AJ2" s="7"/>
      <x:c r="AK2" s="7"/>
      <x:c r="AL2" s="7"/>
    </x:row>
    <x:row r="3" spans="1:38">
      <x:c r="A3" s="7" t="s">
        <x:v>121</x:v>
      </x:c>
      <x:c r="B3" s="7" t="s">
        <x:v>11</x:v>
      </x:c>
      <x:c r="C3" s="7"/>
      <x:c r="D3" s="7" t="s">
        <x:v>10</x:v>
      </x:c>
      <x:c r="E3" s="7" t="s">
        <x:v>119</x:v>
      </x:c>
      <x:c r="F3" s="29">
        <x:v>44350</x:v>
      </x:c>
      <x:c r="G3" s="7" t="s">
        <x:v>120</x:v>
      </x:c>
      <x:c r="H3" s="7" t="s"/>
      <x:c r="I3" s="7"/>
      <x:c r="J3" s="7"/>
      <x:c r="K3" s="8">
        <x:v>11803000</x:v>
      </x:c>
      <x:c r="L3" s="8">
        <x:v>11803000</x:v>
      </x:c>
      <x:c r="M3" s="7" t="s">
        <x:v>3</x:v>
      </x:c>
      <x:c r="N3" s="7"/>
      <x:c r="O3" s="30">
        <x:v>10</x:v>
      </x:c>
      <x:c r="P3" s="9">
        <x:v>118030000</x:v>
      </x:c>
      <x:c r="Q3" s="7"/>
      <x:c r="R3" s="7" t="s"/>
      <x:c r="S3" s="7"/>
      <x:c r="T3" s="7"/>
      <x:c r="U3" s="8" t="s"/>
      <x:c r="V3" s="8" t="s"/>
      <x:c r="W3" s="7"/>
      <x:c r="X3" s="8" t="s"/>
      <x:c r="Y3" s="7"/>
      <x:c r="Z3" s="8" t="s"/>
      <x:c r="AA3" s="7"/>
      <x:c r="AB3" s="7"/>
      <x:c r="AC3" s="8">
        <x:v>0</x:v>
      </x:c>
      <x:c r="AD3" s="7"/>
      <x:c r="AE3" s="7"/>
      <x:c r="AF3" s="8" t="s"/>
      <x:c r="AG3" s="7"/>
      <x:c r="AH3" s="8" t="s"/>
      <x:c r="AI3" s="7"/>
      <x:c r="AJ3" s="7"/>
      <x:c r="AK3" s="7"/>
      <x:c r="AL3" s="7"/>
    </x:row>
    <x:row r="4" spans="1:38">
      <x:c r="A4" s="7" t="s">
        <x:v>122</x:v>
      </x:c>
      <x:c r="B4" s="7" t="s">
        <x:v>22</x:v>
      </x:c>
      <x:c r="C4" s="7"/>
      <x:c r="D4" s="7" t="s">
        <x:v>10</x:v>
      </x:c>
      <x:c r="E4" s="7" t="s">
        <x:v>119</x:v>
      </x:c>
      <x:c r="F4" s="29">
        <x:v>44350</x:v>
      </x:c>
      <x:c r="G4" s="7" t="s">
        <x:v>123</x:v>
      </x:c>
      <x:c r="H4" s="7" t="s">
        <x:v>124</x:v>
      </x:c>
      <x:c r="I4" s="7" t="s">
        <x:v>125</x:v>
      </x:c>
      <x:c r="J4" s="7" t="s">
        <x:v>125</x:v>
      </x:c>
      <x:c r="K4" s="8">
        <x:v>1000000</x:v>
      </x:c>
      <x:c r="L4" s="8">
        <x:v>1000000</x:v>
      </x:c>
      <x:c r="M4" s="7" t="s">
        <x:v>3</x:v>
      </x:c>
      <x:c r="N4" s="7"/>
      <x:c r="O4" s="30">
        <x:v>10</x:v>
      </x:c>
      <x:c r="P4" s="9">
        <x:v>0</x:v>
      </x:c>
      <x:c r="Q4" s="7"/>
      <x:c r="R4" s="7" t="s"/>
      <x:c r="S4" s="7"/>
      <x:c r="T4" s="7"/>
      <x:c r="U4" s="8" t="s"/>
      <x:c r="V4" s="8" t="s"/>
      <x:c r="W4" s="7"/>
      <x:c r="X4" s="8" t="s"/>
      <x:c r="Y4" s="7"/>
      <x:c r="Z4" s="8" t="s"/>
      <x:c r="AA4" s="7"/>
      <x:c r="AB4" s="7"/>
      <x:c r="AC4" s="8">
        <x:v>0</x:v>
      </x:c>
      <x:c r="AD4" s="7"/>
      <x:c r="AE4" s="7"/>
      <x:c r="AF4" s="8" t="s"/>
      <x:c r="AG4" s="7"/>
      <x:c r="AH4" s="8" t="s"/>
      <x:c r="AI4" s="7"/>
      <x:c r="AJ4" s="7"/>
      <x:c r="AK4" s="7"/>
      <x:c r="AL4" s="7"/>
    </x:row>
    <x:row r="5" spans="1:38">
      <x:c r="A5" s="7" t="s">
        <x:v>126</x:v>
      </x:c>
      <x:c r="B5" s="7" t="s">
        <x:v>20</x:v>
      </x:c>
      <x:c r="C5" s="7"/>
      <x:c r="D5" s="7" t="s">
        <x:v>10</x:v>
      </x:c>
      <x:c r="E5" s="7" t="s">
        <x:v>119</x:v>
      </x:c>
      <x:c r="F5" s="29">
        <x:v>45446</x:v>
      </x:c>
      <x:c r="G5" s="7" t="s">
        <x:v>123</x:v>
      </x:c>
      <x:c r="H5" s="7" t="s">
        <x:v>124</x:v>
      </x:c>
      <x:c r="I5" s="7" t="s">
        <x:v>125</x:v>
      </x:c>
      <x:c r="J5" s="7" t="s">
        <x:v>125</x:v>
      </x:c>
      <x:c r="K5" s="8">
        <x:v>1000000</x:v>
      </x:c>
      <x:c r="L5" s="8">
        <x:v>1000000</x:v>
      </x:c>
      <x:c r="M5" s="7" t="s">
        <x:v>3</x:v>
      </x:c>
      <x:c r="N5" s="7"/>
      <x:c r="O5" s="30">
        <x:v>10</x:v>
      </x:c>
      <x:c r="P5" s="9">
        <x:v>0</x:v>
      </x:c>
      <x:c r="Q5" s="7"/>
      <x:c r="R5" s="7" t="s"/>
      <x:c r="S5" s="7"/>
      <x:c r="T5" s="7"/>
      <x:c r="U5" s="8" t="s"/>
      <x:c r="V5" s="8" t="s"/>
      <x:c r="W5" s="7"/>
      <x:c r="X5" s="8" t="s"/>
      <x:c r="Y5" s="7"/>
      <x:c r="Z5" s="8" t="s"/>
      <x:c r="AA5" s="7"/>
      <x:c r="AB5" s="7"/>
      <x:c r="AC5" s="8">
        <x:v>0</x:v>
      </x:c>
      <x:c r="AD5" s="7"/>
      <x:c r="AE5" s="7"/>
      <x:c r="AF5" s="8" t="s"/>
      <x:c r="AG5" s="7"/>
      <x:c r="AH5" s="8" t="s"/>
      <x:c r="AI5" s="7"/>
      <x:c r="AJ5" s="7"/>
      <x:c r="AK5" s="7"/>
      <x:c r="AL5" s="7"/>
    </x:row>
    <x:row r="6" spans="1:38">
      <x:c r="A6" s="7" t="s">
        <x:v>127</x:v>
      </x:c>
      <x:c r="B6" s="7" t="s">
        <x:v>15</x:v>
      </x:c>
      <x:c r="C6" s="7"/>
      <x:c r="D6" s="7" t="s">
        <x:v>10</x:v>
      </x:c>
      <x:c r="E6" s="7" t="s">
        <x:v>119</x:v>
      </x:c>
      <x:c r="F6" s="29">
        <x:v>45446</x:v>
      </x:c>
      <x:c r="G6" s="7" t="s">
        <x:v>123</x:v>
      </x:c>
      <x:c r="H6" s="7" t="s">
        <x:v>124</x:v>
      </x:c>
      <x:c r="I6" s="7" t="s">
        <x:v>125</x:v>
      </x:c>
      <x:c r="J6" s="7" t="s">
        <x:v>125</x:v>
      </x:c>
      <x:c r="K6" s="8">
        <x:v>2000000</x:v>
      </x:c>
      <x:c r="L6" s="8">
        <x:v>2000000</x:v>
      </x:c>
      <x:c r="M6" s="7" t="s">
        <x:v>3</x:v>
      </x:c>
      <x:c r="N6" s="7"/>
      <x:c r="O6" s="30">
        <x:v>10</x:v>
      </x:c>
      <x:c r="P6" s="9">
        <x:v>0</x:v>
      </x:c>
      <x:c r="Q6" s="7"/>
      <x:c r="R6" s="7" t="s"/>
      <x:c r="S6" s="7"/>
      <x:c r="T6" s="7"/>
      <x:c r="U6" s="8" t="s"/>
      <x:c r="V6" s="8" t="s"/>
      <x:c r="W6" s="7"/>
      <x:c r="X6" s="8" t="s"/>
      <x:c r="Y6" s="7"/>
      <x:c r="Z6" s="8" t="s"/>
      <x:c r="AA6" s="7"/>
      <x:c r="AB6" s="7"/>
      <x:c r="AC6" s="8">
        <x:v>0</x:v>
      </x:c>
      <x:c r="AD6" s="7"/>
      <x:c r="AE6" s="7"/>
      <x:c r="AF6" s="8" t="s"/>
      <x:c r="AG6" s="7"/>
      <x:c r="AH6" s="8" t="s"/>
      <x:c r="AI6" s="7"/>
      <x:c r="AJ6" s="7"/>
      <x:c r="AK6" s="7"/>
      <x:c r="AL6" s="7"/>
    </x:row>
    <x:row r="7" spans="1:38">
      <x:c r="A7" s="7" t="s">
        <x:v>128</x:v>
      </x:c>
      <x:c r="B7" s="7" t="s">
        <x:v>17</x:v>
      </x:c>
      <x:c r="C7" s="7"/>
      <x:c r="D7" s="7" t="s">
        <x:v>10</x:v>
      </x:c>
      <x:c r="E7" s="7" t="s">
        <x:v>119</x:v>
      </x:c>
      <x:c r="F7" s="29">
        <x:v>45446</x:v>
      </x:c>
      <x:c r="G7" s="7" t="s">
        <x:v>123</x:v>
      </x:c>
      <x:c r="H7" s="7" t="s">
        <x:v>124</x:v>
      </x:c>
      <x:c r="I7" s="7" t="s">
        <x:v>125</x:v>
      </x:c>
      <x:c r="J7" s="7" t="s">
        <x:v>125</x:v>
      </x:c>
      <x:c r="K7" s="8">
        <x:v>2000000</x:v>
      </x:c>
      <x:c r="L7" s="8">
        <x:v>2000000</x:v>
      </x:c>
      <x:c r="M7" s="7" t="s">
        <x:v>3</x:v>
      </x:c>
      <x:c r="N7" s="7"/>
      <x:c r="O7" s="30">
        <x:v>10</x:v>
      </x:c>
      <x:c r="P7" s="9">
        <x:v>0</x:v>
      </x:c>
      <x:c r="Q7" s="7"/>
      <x:c r="R7" s="7" t="s"/>
      <x:c r="S7" s="7"/>
      <x:c r="T7" s="7"/>
      <x:c r="U7" s="8" t="s"/>
      <x:c r="V7" s="8" t="s"/>
      <x:c r="W7" s="7"/>
      <x:c r="X7" s="8" t="s"/>
      <x:c r="Y7" s="7"/>
      <x:c r="Z7" s="8" t="s"/>
      <x:c r="AA7" s="7"/>
      <x:c r="AB7" s="7"/>
      <x:c r="AC7" s="8">
        <x:v>0</x:v>
      </x:c>
      <x:c r="AD7" s="7"/>
      <x:c r="AE7" s="7"/>
      <x:c r="AF7" s="8" t="s"/>
      <x:c r="AG7" s="7"/>
      <x:c r="AH7" s="8" t="s"/>
      <x:c r="AI7" s="7"/>
      <x:c r="AJ7" s="7"/>
      <x:c r="AK7" s="7"/>
      <x:c r="AL7" s="7"/>
    </x:row>
    <x:row r="8" spans="1:38">
      <x:c r="A8" s="7" t="s">
        <x:v>129</x:v>
      </x:c>
      <x:c r="B8" s="7" t="s">
        <x:v>19</x:v>
      </x:c>
      <x:c r="C8" s="7"/>
      <x:c r="D8" s="7" t="s">
        <x:v>10</x:v>
      </x:c>
      <x:c r="E8" s="7" t="s">
        <x:v>119</x:v>
      </x:c>
      <x:c r="F8" s="29">
        <x:v>45811</x:v>
      </x:c>
      <x:c r="G8" s="7" t="s">
        <x:v>123</x:v>
      </x:c>
      <x:c r="H8" s="7" t="s">
        <x:v>124</x:v>
      </x:c>
      <x:c r="I8" s="7" t="s">
        <x:v>125</x:v>
      </x:c>
      <x:c r="J8" s="7" t="s">
        <x:v>125</x:v>
      </x:c>
      <x:c r="K8" s="8">
        <x:v>1000000</x:v>
      </x:c>
      <x:c r="L8" s="8">
        <x:v>1000000</x:v>
      </x:c>
      <x:c r="M8" s="7" t="s">
        <x:v>3</x:v>
      </x:c>
      <x:c r="N8" s="7"/>
      <x:c r="O8" s="30">
        <x:v>11.53</x:v>
      </x:c>
      <x:c r="P8" s="9">
        <x:v>0</x:v>
      </x:c>
      <x:c r="Q8" s="7"/>
      <x:c r="R8" s="7" t="s"/>
      <x:c r="S8" s="7"/>
      <x:c r="T8" s="7"/>
      <x:c r="U8" s="8" t="s"/>
      <x:c r="V8" s="8" t="s"/>
      <x:c r="W8" s="7"/>
      <x:c r="X8" s="8" t="s"/>
      <x:c r="Y8" s="7"/>
      <x:c r="Z8" s="8" t="s"/>
      <x:c r="AA8" s="7"/>
      <x:c r="AB8" s="7"/>
      <x:c r="AC8" s="8">
        <x:v>0</x:v>
      </x:c>
      <x:c r="AD8" s="7"/>
      <x:c r="AE8" s="7"/>
      <x:c r="AF8" s="8" t="s"/>
      <x:c r="AG8" s="7"/>
      <x:c r="AH8" s="8" t="s"/>
      <x:c r="AI8" s="7"/>
      <x:c r="AJ8" s="7"/>
      <x:c r="AK8" s="7"/>
      <x:c r="AL8" s="7"/>
    </x:row>
    <x:row r="9" spans="1:38">
      <x:c r="A9" s="7" t="s">
        <x:v>130</x:v>
      </x:c>
      <x:c r="B9" s="7" t="s">
        <x:v>21</x:v>
      </x:c>
      <x:c r="C9" s="7"/>
      <x:c r="D9" s="7" t="s">
        <x:v>10</x:v>
      </x:c>
      <x:c r="E9" s="7" t="s">
        <x:v>119</x:v>
      </x:c>
      <x:c r="F9" s="29">
        <x:v>45811</x:v>
      </x:c>
      <x:c r="G9" s="7" t="s">
        <x:v>123</x:v>
      </x:c>
      <x:c r="H9" s="7" t="s">
        <x:v>124</x:v>
      </x:c>
      <x:c r="I9" s="7" t="s">
        <x:v>125</x:v>
      </x:c>
      <x:c r="J9" s="7" t="s">
        <x:v>125</x:v>
      </x:c>
      <x:c r="K9" s="8">
        <x:v>1000000</x:v>
      </x:c>
      <x:c r="L9" s="8">
        <x:v>1000000</x:v>
      </x:c>
      <x:c r="M9" s="7" t="s">
        <x:v>3</x:v>
      </x:c>
      <x:c r="N9" s="7"/>
      <x:c r="O9" s="30">
        <x:v>11.53</x:v>
      </x:c>
      <x:c r="P9" s="9">
        <x:v>0</x:v>
      </x:c>
      <x:c r="Q9" s="7"/>
      <x:c r="R9" s="7" t="s"/>
      <x:c r="S9" s="7"/>
      <x:c r="T9" s="7"/>
      <x:c r="U9" s="8" t="s"/>
      <x:c r="V9" s="8" t="s"/>
      <x:c r="W9" s="7"/>
      <x:c r="X9" s="8" t="s"/>
      <x:c r="Y9" s="7"/>
      <x:c r="Z9" s="8" t="s"/>
      <x:c r="AA9" s="7"/>
      <x:c r="AB9" s="7"/>
      <x:c r="AC9" s="8">
        <x:v>0</x:v>
      </x:c>
      <x:c r="AD9" s="7"/>
      <x:c r="AE9" s="7"/>
      <x:c r="AF9" s="8" t="s"/>
      <x:c r="AG9" s="7"/>
      <x:c r="AH9" s="8" t="s"/>
      <x:c r="AI9" s="7"/>
      <x:c r="AJ9" s="7"/>
      <x:c r="AK9" s="7"/>
      <x:c r="AL9" s="7"/>
    </x:row>
    <x:row r="10" spans="1:38">
      <x:c r="A10" s="7" t="s">
        <x:v>131</x:v>
      </x:c>
      <x:c r="B10" s="7" t="s">
        <x:v>12</x:v>
      </x:c>
      <x:c r="C10" s="7"/>
      <x:c r="D10" s="7" t="s">
        <x:v>10</x:v>
      </x:c>
      <x:c r="E10" s="7" t="s">
        <x:v>119</x:v>
      </x:c>
      <x:c r="F10" s="29">
        <x:v>45839</x:v>
      </x:c>
      <x:c r="G10" s="7" t="s">
        <x:v>123</x:v>
      </x:c>
      <x:c r="H10" s="7" t="s">
        <x:v>124</x:v>
      </x:c>
      <x:c r="I10" s="7" t="s">
        <x:v>125</x:v>
      </x:c>
      <x:c r="J10" s="7" t="s">
        <x:v>125</x:v>
      </x:c>
      <x:c r="K10" s="8">
        <x:v>10800000</x:v>
      </x:c>
      <x:c r="L10" s="8">
        <x:v>10800000</x:v>
      </x:c>
      <x:c r="M10" s="7" t="s">
        <x:v>3</x:v>
      </x:c>
      <x:c r="N10" s="7"/>
      <x:c r="O10" s="30">
        <x:v>10.8</x:v>
      </x:c>
      <x:c r="P10" s="9">
        <x:v>0</x:v>
      </x:c>
      <x:c r="Q10" s="7"/>
      <x:c r="R10" s="7" t="s"/>
      <x:c r="S10" s="7"/>
      <x:c r="T10" s="7"/>
      <x:c r="U10" s="8" t="s"/>
      <x:c r="V10" s="8" t="s"/>
      <x:c r="W10" s="7"/>
      <x:c r="X10" s="8" t="s"/>
      <x:c r="Y10" s="7"/>
      <x:c r="Z10" s="8" t="s"/>
      <x:c r="AA10" s="7"/>
      <x:c r="AB10" s="7"/>
      <x:c r="AC10" s="8">
        <x:v>0</x:v>
      </x:c>
      <x:c r="AD10" s="7"/>
      <x:c r="AE10" s="7"/>
      <x:c r="AF10" s="8" t="s"/>
      <x:c r="AG10" s="7"/>
      <x:c r="AH10" s="8" t="s"/>
      <x:c r="AI10" s="7"/>
      <x:c r="AJ10" s="7"/>
      <x:c r="AK10" s="7"/>
      <x:c r="AL10" s="7"/>
    </x:row>
    <x:row r="11" spans="1:38">
      <x:c r="A11" s="7" t="s">
        <x:v>132</x:v>
      </x:c>
      <x:c r="B11" s="7" t="s">
        <x:v>14</x:v>
      </x:c>
      <x:c r="C11" s="7"/>
      <x:c r="D11" s="7" t="s">
        <x:v>10</x:v>
      </x:c>
      <x:c r="E11" s="7" t="s">
        <x:v>119</x:v>
      </x:c>
      <x:c r="F11" s="29">
        <x:v>45839</x:v>
      </x:c>
      <x:c r="G11" s="7" t="s">
        <x:v>123</x:v>
      </x:c>
      <x:c r="H11" s="7" t="s">
        <x:v>124</x:v>
      </x:c>
      <x:c r="I11" s="7" t="s">
        <x:v>125</x:v>
      </x:c>
      <x:c r="J11" s="7" t="s">
        <x:v>125</x:v>
      </x:c>
      <x:c r="K11" s="8">
        <x:v>8300000</x:v>
      </x:c>
      <x:c r="L11" s="8">
        <x:v>8300000</x:v>
      </x:c>
      <x:c r="M11" s="7" t="s">
        <x:v>3</x:v>
      </x:c>
      <x:c r="N11" s="7"/>
      <x:c r="O11" s="30">
        <x:v>10.21</x:v>
      </x:c>
      <x:c r="P11" s="9">
        <x:v>0</x:v>
      </x:c>
      <x:c r="Q11" s="7"/>
      <x:c r="R11" s="7" t="s"/>
      <x:c r="S11" s="7"/>
      <x:c r="T11" s="7"/>
      <x:c r="U11" s="8" t="s"/>
      <x:c r="V11" s="8" t="s"/>
      <x:c r="W11" s="7"/>
      <x:c r="X11" s="8" t="s"/>
      <x:c r="Y11" s="7"/>
      <x:c r="Z11" s="8" t="s"/>
      <x:c r="AA11" s="7"/>
      <x:c r="AB11" s="7"/>
      <x:c r="AC11" s="8">
        <x:v>0</x:v>
      </x:c>
      <x:c r="AD11" s="7"/>
      <x:c r="AE11" s="7"/>
      <x:c r="AF11" s="8" t="s"/>
      <x:c r="AG11" s="7"/>
      <x:c r="AH11" s="8" t="s"/>
      <x:c r="AI11" s="7"/>
      <x:c r="AJ11" s="7"/>
      <x:c r="AK11" s="7"/>
      <x:c r="AL11" s="7"/>
    </x:row>
    <x:row r="12" spans="1:38">
      <x:c r="A12" s="1" t="s"/>
      <x:c r="B12" s="2" t="s"/>
      <x:c r="C12" s="2" t="s"/>
      <x:c r="D12" s="2" t="s"/>
      <x:c r="E12" s="2" t="s"/>
      <x:c r="F12" s="2" t="s"/>
      <x:c r="G12" s="2" t="s"/>
      <x:c r="H12" s="2" t="s"/>
      <x:c r="I12" s="2" t="s"/>
      <x:c r="J12" s="2" t="s"/>
      <x:c r="K12" s="10">
        <x:f>SUM(K2:K11)</x:f>
        <x:v>76300000</x:v>
      </x:c>
      <x:c r="L12" s="22">
        <x:f>SUM(L2:L11)</x:f>
        <x:v>76300000</x:v>
      </x:c>
      <x:c r="M12" s="2" t="s"/>
      <x:c r="N12" s="2" t="s"/>
      <x:c r="O12" s="2" t="s"/>
      <x:c r="P12" s="31">
        <x:f>SUM(P2:P11)</x:f>
        <x:v>492000000</x:v>
      </x:c>
      <x:c r="Q12" s="2" t="s"/>
      <x:c r="R12" s="2" t="s"/>
      <x:c r="S12" s="2" t="s"/>
      <x:c r="T12" s="2" t="s"/>
      <x:c r="U12" s="10">
        <x:f>SUM(U2:U11)</x:f>
        <x:v>0</x:v>
      </x:c>
      <x:c r="V12" s="10">
        <x:f>SUM(V2:V11)</x:f>
        <x:v>0</x:v>
      </x:c>
      <x:c r="W12" s="2" t="s"/>
      <x:c r="X12" s="10">
        <x:f>SUM(X2:X11)</x:f>
        <x:v>0</x:v>
      </x:c>
      <x:c r="Y12" s="2" t="s"/>
      <x:c r="Z12" s="10">
        <x:f>SUM(Z2:Z11)</x:f>
        <x:v>0</x:v>
      </x:c>
      <x:c r="AA12" s="2" t="s"/>
      <x:c r="AB12" s="2" t="s"/>
      <x:c r="AC12" s="10" t="s"/>
      <x:c r="AD12" s="2" t="s"/>
      <x:c r="AE12" s="2" t="s"/>
      <x:c r="AF12" s="10">
        <x:f>SUM(AF2:AF11)</x:f>
        <x:v>0</x:v>
      </x:c>
      <x:c r="AG12" s="2" t="s"/>
      <x:c r="AH12" s="10">
        <x:f>SUM(AH2:AH11)</x:f>
        <x:v>0</x:v>
      </x:c>
      <x:c r="AI12" s="2" t="s"/>
      <x:c r="AJ12" s="2" t="s"/>
      <x:c r="AK12" s="2" t="s"/>
      <x:c r="AL12" s="3" t="s"/>
    </x:row>
    <x:row r="13" spans="1:38">
      <x:c r="A13" s="12" t="s">
        <x:v>133</x:v>
      </x:c>
    </x:row>
    <x:row r="14" spans="1:38">
      <x:c r="A14" s="0" t="s">
        <x:v>25</x:v>
      </x:c>
    </x:row>
  </x:sheetData>
  <x:hyperlinks>
    <x:hyperlink ref="L12" location="'Cap Table Summary'!E2" display="76,300,000"/>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N12"/>
  <x:sheetViews>
    <x:sheetView showGridLines="0" workbookViewId="0"/>
  </x:sheetViews>
  <x:sheetFormatPr defaultRowHeight="15"/>
  <x:cols>
    <x:col min="1" max="1" width="50.853482" style="0" customWidth="1"/>
    <x:col min="2" max="2" width="9.567768" style="0" customWidth="1"/>
    <x:col min="3" max="3" width="10.853482" style="0" customWidth="1"/>
    <x:col min="4" max="4" width="21.996339" style="0" customWidth="1"/>
    <x:col min="5" max="5" width="8.282054" style="0" customWidth="1"/>
    <x:col min="6" max="6" width="8.996339" style="0" customWidth="1"/>
    <x:col min="7" max="7" width="7.567768" style="0" customWidth="1"/>
    <x:col min="8" max="8" width="12.710625" style="0" customWidth="1"/>
    <x:col min="9" max="9" width="18.139196" style="0" customWidth="1"/>
    <x:col min="10" max="10" width="16.139196" style="0" customWidth="1"/>
    <x:col min="11" max="11" width="15.996339" style="0" customWidth="1"/>
    <x:col min="12" max="12" width="19.853482" style="0" customWidth="1"/>
    <x:col min="13" max="13" width="16.996339" style="0" customWidth="1"/>
    <x:col min="14" max="14" width="21.710625" style="0" customWidth="1"/>
  </x:cols>
  <x:sheetData>
    <x:row r="1" spans="1:14">
      <x:c r="A1" s="32" t="s">
        <x:v>134</x:v>
      </x:c>
      <x:c r="B1" s="33"/>
      <x:c r="C1" s="33"/>
      <x:c r="D1" s="33"/>
      <x:c r="E1" s="33"/>
      <x:c r="F1" s="33"/>
      <x:c r="G1" s="33"/>
      <x:c r="H1" s="33"/>
      <x:c r="I1" s="33"/>
      <x:c r="J1" s="33"/>
      <x:c r="K1" s="33"/>
      <x:c r="L1" s="33"/>
      <x:c r="M1" s="33"/>
      <x:c r="N1" s="34"/>
    </x:row>
    <x:row r="2" spans="1:14">
      <x:c r="A2" s="1" t="s">
        <x:v>135</x:v>
      </x:c>
      <x:c r="B2" s="2" t="s">
        <x:v>136</x:v>
      </x:c>
      <x:c r="C2" s="2" t="s">
        <x:v>7</x:v>
      </x:c>
      <x:c r="D2" s="2" t="s">
        <x:v>137</x:v>
      </x:c>
      <x:c r="E2" s="2" t="s">
        <x:v>138</x:v>
      </x:c>
      <x:c r="F2" s="2" t="s">
        <x:v>139</x:v>
      </x:c>
      <x:c r="G2" s="2" t="s">
        <x:v>140</x:v>
      </x:c>
      <x:c r="H2" s="2" t="s">
        <x:v>141</x:v>
      </x:c>
      <x:c r="I2" s="2" t="s">
        <x:v>142</x:v>
      </x:c>
      <x:c r="J2" s="2" t="s">
        <x:v>143</x:v>
      </x:c>
      <x:c r="K2" s="2" t="s">
        <x:v>144</x:v>
      </x:c>
      <x:c r="L2" s="2" t="s">
        <x:v>145</x:v>
      </x:c>
      <x:c r="M2" s="2" t="s">
        <x:v>146</x:v>
      </x:c>
      <x:c r="N2" s="3" t="s">
        <x:v>147</x:v>
      </x:c>
    </x:row>
    <x:row r="4" spans="1:14">
      <x:c r="A4" s="32" t="s">
        <x:v>148</x:v>
      </x:c>
    </x:row>
    <x:row r="5" spans="1:14">
      <x:c r="A5" s="35" t="s">
        <x:v>149</x:v>
      </x:c>
    </x:row>
    <x:row r="6" spans="1:14">
      <x:c r="A6" s="36" t="s">
        <x:v>145</x:v>
      </x:c>
    </x:row>
    <x:row r="7" spans="1:14">
      <x:c r="A7" s="37" t="s">
        <x:v>150</x:v>
      </x:c>
    </x:row>
    <x:row r="9" spans="1:14" ht="100" customHeight="1">
      <x:c r="A9" s="38" t="s">
        <x:v>151</x:v>
      </x:c>
    </x:row>
    <x:row r="11" spans="1:14">
      <x:c r="A11" s="12" t="s">
        <x:v>152</x:v>
      </x:c>
    </x:row>
    <x:row r="12" spans="1:14">
      <x:c r="A12" s="0" t="s">
        <x:v>25</x:v>
      </x:c>
    </x:row>
  </x:sheetData>
  <x:mergeCells count="2">
    <x:mergeCell ref="A1:N1"/>
    <x:mergeCell ref="A9:E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8">
      <vt:lpstr>Cap Table Summary</vt:lpstr>
      <vt:lpstr>Cap Table by Stakeholder</vt:lpstr>
      <vt:lpstr>Cap Table by Share Class</vt:lpstr>
      <vt:lpstr>Users</vt:lpstr>
      <vt:lpstr>Share Transactions</vt:lpstr>
      <vt:lpstr>Plan Management</vt:lpstr>
      <vt:lpstr>Cap Table by Stakeholder!Print_Area</vt:lpstr>
      <vt:lpstr>Cap Table by Stakeholder!Print_Titles</vt:lpstr>
      <vt:lpstr>Cap Table by Share Class!Print_Area</vt:lpstr>
      <vt:lpstr>Cap Table by Share Class!Print_Titles</vt:lpstr>
      <vt:lpstr>Cap Table Summary!Print_Area</vt:lpstr>
      <vt:lpstr>Cap Table Summary!Print_Titles</vt:lpstr>
      <vt:lpstr>Users!Print_Area</vt:lpstr>
      <vt:lpstr>Users!Print_Titles</vt:lpstr>
      <vt:lpstr>Share Transactions!Print_Area</vt:lpstr>
      <vt:lpstr>Share Transactions!Print_Titles</vt:lpstr>
      <vt:lpstr>Plan Management!Print_Area</vt:lpstr>
      <vt:lpstr>Plan Management!Print_Titles</vt:lpstr>
    </vt:vector>
  </ap:TitlesOfParts>
  <ap:HeadingPairs>
    <vt:vector baseType="variant" size="4">
      <vt:variant>
        <vt:lpstr>Worksheets</vt:lpstr>
      </vt:variant>
      <vt:variant>
        <vt:i4>6</vt:i4>
      </vt:variant>
      <vt:variant>
        <vt:lpstr>Named Ranges</vt:lpstr>
      </vt:variant>
      <vt:variant>
        <vt:i4>12</vt:i4>
      </vt:variant>
    </vt:vector>
  </ap:HeadingPairs>
  <ap:DocSecurity>0</ap:DocSecurity>
  <ap:ScaleCrop>false</ap:ScaleCrop>
</ap:Properties>
</file>