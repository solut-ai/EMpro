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3c39be1fd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1db36666f34bfebf37ed214933f5ef.psmdcp" Id="R338495faa96245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 Transactions" sheetId="2" r:id="rId2"/>
  </x:sheets>
  <x:definedNames/>
  <x:calcPr calcId="125725"/>
</x:workbook>
</file>

<file path=xl/calcChain.xml><?xml version="1.0" encoding="utf-8"?>
<x:calcChain xmlns:x="http://schemas.openxmlformats.org/spreadsheetml/2006/main">
  <x:c r="K6" i="2"/>
  <x:c r="L6" i="2"/>
  <x:c r="O6" i="2"/>
  <x:c r="T6" i="2"/>
  <x:c r="U6" i="2"/>
  <x:c r="W6" i="2"/>
  <x:c r="Y6" i="2"/>
  <x:c r="AE6" i="2"/>
  <x:c r="AG6" i="2"/>
</x:calcChain>
</file>

<file path=xl/sharedStrings.xml><?xml version="1.0" encoding="utf-8"?>
<x:sst xmlns:x="http://schemas.openxmlformats.org/spreadsheetml/2006/main">
  <x:si>
    <x:t>Security ID</x:t>
  </x:si>
  <x:si>
    <x:t>Shareholder</x:t>
  </x:si>
  <x:si>
    <x:t>Stakeholder Id</x:t>
  </x:si>
  <x:si>
    <x:t>Share Class</x:t>
  </x:si>
  <x:si>
    <x:t>Source</x:t>
  </x:si>
  <x:si>
    <x:t>Issue Date</x:t>
  </x:si>
  <x:si>
    <x:t>Certificate Format</x:t>
  </x:si>
  <x:si>
    <x:t>Certificate Type</x:t>
  </x:si>
  <x:si>
    <x:t>Terms</x:t>
  </x:si>
  <x:si>
    <x:t>Legend</x:t>
  </x:si>
  <x:si>
    <x:t>Shares</x:t>
  </x:si>
  <x:si>
    <x:t>Shares Outstanding</x:t>
  </x:si>
  <x:si>
    <x:t>Status</x:t>
  </x:si>
  <x:si>
    <x:t>Issue Price</x:t>
  </x:si>
  <x:si>
    <x:t>Capital Committed</x:t>
  </x:si>
  <x:si>
    <x:t>Origin</x:t>
  </x:si>
  <x:si>
    <x:t>Destination</x:t>
  </x:si>
  <x:si>
    <x:t>Vesting Start Date</x:t>
  </x:si>
  <x:si>
    <x:t>Vesting Schedule Name</x:t>
  </x:si>
  <x:si>
    <x:t>Shares Vested</x:t>
  </x:si>
  <x:si>
    <x:t>Shares Unvested</x:t>
  </x:si>
  <x:si>
    <x:t>Hurdle Price</x:t>
  </x:si>
  <x:si>
    <x:t>No. of Shares Repurchased</x:t>
  </x:si>
  <x:si>
    <x:t>Repurchase Date</x:t>
  </x:si>
  <x:si>
    <x:t>No. of Shares transferred</x:t>
  </x:si>
  <x:si>
    <x:t>Transfer Date</x:t>
  </x:si>
  <x:si>
    <x:t>Shareholder receiving shares</x:t>
  </x:si>
  <x:si>
    <x:t>No. of Shares Cancelled</x:t>
  </x:si>
  <x:si>
    <x:t>Cancellation Date</x:t>
  </x:si>
  <x:si>
    <x:t>Cancellation Reason</x:t>
  </x:si>
  <x:si>
    <x:t>No. of shares converted (Share Class)</x:t>
  </x:si>
  <x:si>
    <x:t>Conversion Date (Share Class)</x:t>
  </x:si>
  <x:si>
    <x:t>No. of shares converted (CRCP)</x:t>
  </x:si>
  <x:si>
    <x:t>Conversion Date (CRCP)</x:t>
  </x:si>
  <x:si>
    <x:t>Transactional History</x:t>
  </x:si>
  <x:si>
    <x:t>OT-1</x:t>
  </x:si>
  <x:si>
    <x:t>OUTTHEFREEZER Limited</x:t>
  </x:si>
  <x:si>
    <x:t>Common Stock</x:t>
  </x:si>
  <x:si>
    <x:t>Repurchase Surplus</x:t>
  </x:si>
  <x:si>
    <x:t>Uncertificated</x:t>
  </x:si>
  <x:si>
    <x:t>Outstanding</x:t>
  </x:si>
  <x:si>
    <x:t>CS-11</x:t>
  </x:si>
  <x:si>
    <x:t>This share transaction was created from the repurchase of share transaction CS-11</x:t>
  </x:si>
  <x:si>
    <x:t>Transfer (IN)</x:t>
  </x:si>
  <x:si>
    <x:t>Repurchased</x:t>
  </x:si>
  <x:si>
    <x:t>CS-2</x:t>
  </x:si>
  <x:si>
    <x:t>This share transaction was cancelled and the repurchase surplus was issued to share transaction OT-1.
This share transaction was created from the transfer of share transaction CS-2</x:t>
  </x:si>
  <x:si>
    <x:t>PL-1</x:t>
  </x:si>
  <x:si>
    <x:t>PREFERRED</x:t>
  </x:si>
  <x:si>
    <x:t>Issuance</x:t>
  </x:si>
  <x:si>
    <x:t>OT-2</x:t>
  </x:si>
  <x:si>
    <x:t>C3</x:t>
  </x:si>
  <x:si>
    <x:t>Growth Shares</x:t>
  </x:si>
  <x:si>
    <x:t>OT - 2</x:t>
  </x:si>
  <x:si>
    <x:t>48 Month Graded</x:t>
  </x:si>
  <x:si>
    <x:t>This share transaction was created from Grant ID OT - 2</x:t>
  </x:si>
  <x:si>
    <x:t>Transactions Export: Middleton Solutions Inc</x:t>
  </x:si>
  <x:si>
    <x:t>Exported by OUTTHEFREEZER Limited on 30-Oct 25 at 11.04 UTC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</x:si>
</x:sst>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dd-MMM-yyyy"/>
    <x:numFmt numFmtId="165" formatCode="#,##0;-#,##0;-"/>
    <x:numFmt numFmtId="166" formatCode="#,##0.00######;-#,##0.00######;0"/>
    <x:numFmt numFmtId="167" formatCode="#,##0.00;-#,##0.00;-"/>
    <x:numFmt numFmtId="168" formatCode="#,##0.00######;-#,##0.00######;-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4" applyNumberFormat="1" applyFill="1" applyBorder="1" applyAlignment="1" applyProtection="1">
      <x:protection locked="1" hidden="0"/>
    </x:xf>
    <x:xf numFmtId="167" fontId="0" fillId="0" borderId="4" applyNumberFormat="1" applyFill="1" applyBorder="1" applyAlignment="1" applyProtection="1">
      <x:protection locked="1" hidden="0"/>
    </x:xf>
    <x:xf numFmtId="165" fontId="1" fillId="2" borderId="2" applyNumberFormat="1" applyFill="0" applyBorder="1" applyAlignment="1" applyProtection="1">
      <x:protection locked="1" hidden="0"/>
    </x:xf>
    <x:xf numFmtId="168" fontId="1" fillId="2" borderId="2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8"/>
  <x:sheetViews>
    <x:sheetView showGridLines="0" workbookViewId="0"/>
  </x:sheetViews>
  <x:sheetFormatPr defaultRowHeight="15"/>
  <x:cols>
    <x:col min="1" max="1" width="12.710625" style="0" customWidth="1"/>
    <x:col min="2" max="2" width="23.139196" style="0" customWidth="1"/>
    <x:col min="3" max="3" width="13.996339" style="0" customWidth="1"/>
    <x:col min="4" max="4" width="14.710625" style="0" customWidth="1"/>
    <x:col min="5" max="5" width="18.710625" style="0" customWidth="1"/>
    <x:col min="6" max="6" width="11.424911" style="0" customWidth="1"/>
    <x:col min="7" max="7" width="16.853482" style="0" customWidth="1"/>
    <x:col min="8" max="8" width="14.710625" style="0" customWidth="1"/>
    <x:col min="9" max="9" width="6.282054" style="0" customWidth="1"/>
    <x:col min="10" max="10" width="7.424911" style="0" customWidth="1"/>
    <x:col min="11" max="11" width="10.424911" style="0" customWidth="1"/>
    <x:col min="12" max="12" width="18.710625" style="0" customWidth="1"/>
    <x:col min="13" max="13" width="12.710625" style="0" customWidth="1"/>
    <x:col min="14" max="14" width="10.282054" style="0" customWidth="1"/>
    <x:col min="15" max="15" width="17.853482" style="0" customWidth="1"/>
    <x:col min="16" max="16" width="6.139196" style="0" customWidth="1"/>
    <x:col min="17" max="17" width="11.139196" style="0" customWidth="1"/>
    <x:col min="18" max="18" width="16.853482" style="0" customWidth="1"/>
    <x:col min="19" max="19" width="21.710625" style="0" customWidth="1"/>
    <x:col min="20" max="20" width="13.567768" style="0" customWidth="1"/>
    <x:col min="21" max="21" width="15.853482" style="0" customWidth="1"/>
    <x:col min="22" max="22" width="11.567768" style="0" customWidth="1"/>
    <x:col min="23" max="23" width="24.996339" style="0" customWidth="1"/>
    <x:col min="24" max="24" width="15.996339" style="0" customWidth="1"/>
    <x:col min="25" max="25" width="23.424911" style="0" customWidth="1"/>
    <x:col min="26" max="26" width="12.996339" style="0" customWidth="1"/>
    <x:col min="27" max="27" width="26.567768" style="0" customWidth="1"/>
    <x:col min="28" max="28" width="21.710625" style="0" customWidth="1"/>
    <x:col min="29" max="29" width="16.424911" style="0" customWidth="1"/>
    <x:col min="30" max="30" width="18.996339" style="0" customWidth="1"/>
    <x:col min="31" max="31" width="34.139196" style="0" customWidth="1"/>
    <x:col min="32" max="32" width="27.710625" style="0" customWidth="1"/>
    <x:col min="33" max="33" width="28.853482" style="0" customWidth="1"/>
    <x:col min="34" max="34" width="22.424911" style="0" customWidth="1"/>
    <x:col min="35" max="35" width="40.710625" style="0" customWidth="1"/>
  </x:cols>
  <x:sheetData>
    <x:row r="1" spans="1:35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3" t="s">
        <x:v>34</x:v>
      </x:c>
    </x:row>
    <x:row r="2" spans="1:35">
      <x:c r="A2" s="4" t="s">
        <x:v>35</x:v>
      </x:c>
      <x:c r="B2" s="4" t="s">
        <x:v>36</x:v>
      </x:c>
      <x:c r="C2" s="4"/>
      <x:c r="D2" s="4" t="s">
        <x:v>37</x:v>
      </x:c>
      <x:c r="E2" s="4" t="s">
        <x:v>38</x:v>
      </x:c>
      <x:c r="F2" s="5">
        <x:v>44350</x:v>
      </x:c>
      <x:c r="G2" s="4" t="s">
        <x:v>39</x:v>
      </x:c>
      <x:c r="H2" s="4" t="s"/>
      <x:c r="I2" s="4"/>
      <x:c r="J2" s="4"/>
      <x:c r="K2" s="6">
        <x:v>1312200</x:v>
      </x:c>
      <x:c r="L2" s="6">
        <x:v>1312200</x:v>
      </x:c>
      <x:c r="M2" s="4" t="s">
        <x:v>40</x:v>
      </x:c>
      <x:c r="N2" s="7">
        <x:v>11</x:v>
      </x:c>
      <x:c r="O2" s="8">
        <x:v>13122000</x:v>
      </x:c>
      <x:c r="P2" s="4" t="s">
        <x:v>41</x:v>
      </x:c>
      <x:c r="Q2" s="4" t="s"/>
      <x:c r="R2" s="4"/>
      <x:c r="S2" s="4"/>
      <x:c r="T2" s="6" t="s"/>
      <x:c r="U2" s="6" t="s"/>
      <x:c r="V2" s="4"/>
      <x:c r="W2" s="6" t="s"/>
      <x:c r="X2" s="4"/>
      <x:c r="Y2" s="6" t="s"/>
      <x:c r="Z2" s="4"/>
      <x:c r="AA2" s="4"/>
      <x:c r="AB2" s="6">
        <x:v>0</x:v>
      </x:c>
      <x:c r="AC2" s="4"/>
      <x:c r="AD2" s="4"/>
      <x:c r="AE2" s="6" t="s"/>
      <x:c r="AF2" s="4"/>
      <x:c r="AG2" s="6" t="s"/>
      <x:c r="AH2" s="4"/>
      <x:c r="AI2" s="4" t="s">
        <x:v>42</x:v>
      </x:c>
    </x:row>
    <x:row r="3" spans="1:35">
      <x:c r="A3" s="4" t="s">
        <x:v>41</x:v>
      </x:c>
      <x:c r="B3" s="4" t="s">
        <x:v>36</x:v>
      </x:c>
      <x:c r="C3" s="4"/>
      <x:c r="D3" s="4" t="s">
        <x:v>37</x:v>
      </x:c>
      <x:c r="E3" s="4" t="s">
        <x:v>43</x:v>
      </x:c>
      <x:c r="F3" s="5">
        <x:v>44350</x:v>
      </x:c>
      <x:c r="G3" s="4" t="s">
        <x:v>39</x:v>
      </x:c>
      <x:c r="H3" s="4" t="s"/>
      <x:c r="I3" s="4"/>
      <x:c r="J3" s="4"/>
      <x:c r="K3" s="6">
        <x:v>2000000</x:v>
      </x:c>
      <x:c r="L3" s="6">
        <x:v>0</x:v>
      </x:c>
      <x:c r="M3" s="4" t="s">
        <x:v>44</x:v>
      </x:c>
      <x:c r="N3" s="7">
        <x:v>11</x:v>
      </x:c>
      <x:c r="O3" s="8">
        <x:v>0</x:v>
      </x:c>
      <x:c r="P3" s="4" t="s">
        <x:v>45</x:v>
      </x:c>
      <x:c r="Q3" s="4" t="s">
        <x:v>35</x:v>
      </x:c>
      <x:c r="R3" s="4"/>
      <x:c r="S3" s="4"/>
      <x:c r="T3" s="6" t="s"/>
      <x:c r="U3" s="6" t="s"/>
      <x:c r="V3" s="4"/>
      <x:c r="W3" s="6">
        <x:v>687800</x:v>
      </x:c>
      <x:c r="X3" s="5">
        <x:v>44350</x:v>
      </x:c>
      <x:c r="Y3" s="6" t="s"/>
      <x:c r="Z3" s="4"/>
      <x:c r="AA3" s="4"/>
      <x:c r="AB3" s="6">
        <x:v>0</x:v>
      </x:c>
      <x:c r="AC3" s="4"/>
      <x:c r="AD3" s="4"/>
      <x:c r="AE3" s="6" t="s"/>
      <x:c r="AF3" s="4"/>
      <x:c r="AG3" s="6" t="s"/>
      <x:c r="AH3" s="4"/>
      <x:c r="AI3" s="4" t="s">
        <x:v>46</x:v>
      </x:c>
    </x:row>
    <x:row r="4" spans="1:35">
      <x:c r="A4" s="4" t="s">
        <x:v>47</x:v>
      </x:c>
      <x:c r="B4" s="4" t="s">
        <x:v>36</x:v>
      </x:c>
      <x:c r="C4" s="4"/>
      <x:c r="D4" s="4" t="s">
        <x:v>48</x:v>
      </x:c>
      <x:c r="E4" s="4" t="s">
        <x:v>49</x:v>
      </x:c>
      <x:c r="F4" s="5">
        <x:v>45839</x:v>
      </x:c>
      <x:c r="G4" s="4" t="s">
        <x:v>39</x:v>
      </x:c>
      <x:c r="H4" s="4" t="s"/>
      <x:c r="I4" s="4"/>
      <x:c r="J4" s="4"/>
      <x:c r="K4" s="6">
        <x:v>25000000</x:v>
      </x:c>
      <x:c r="L4" s="6">
        <x:v>25000000</x:v>
      </x:c>
      <x:c r="M4" s="4" t="s">
        <x:v>40</x:v>
      </x:c>
      <x:c r="N4" s="7">
        <x:v>11.63</x:v>
      </x:c>
      <x:c r="O4" s="8">
        <x:v>290750000</x:v>
      </x:c>
      <x:c r="P4" s="4"/>
      <x:c r="Q4" s="4" t="s"/>
      <x:c r="R4" s="4"/>
      <x:c r="S4" s="4"/>
      <x:c r="T4" s="6" t="s"/>
      <x:c r="U4" s="6" t="s"/>
      <x:c r="V4" s="4"/>
      <x:c r="W4" s="6" t="s"/>
      <x:c r="X4" s="4"/>
      <x:c r="Y4" s="6" t="s"/>
      <x:c r="Z4" s="4"/>
      <x:c r="AA4" s="4"/>
      <x:c r="AB4" s="6">
        <x:v>0</x:v>
      </x:c>
      <x:c r="AC4" s="4"/>
      <x:c r="AD4" s="4"/>
      <x:c r="AE4" s="6" t="s"/>
      <x:c r="AF4" s="4"/>
      <x:c r="AG4" s="6" t="s"/>
      <x:c r="AH4" s="4"/>
      <x:c r="AI4" s="4"/>
    </x:row>
    <x:row r="5" spans="1:35">
      <x:c r="A5" s="4" t="s">
        <x:v>50</x:v>
      </x:c>
      <x:c r="B5" s="4" t="s">
        <x:v>36</x:v>
      </x:c>
      <x:c r="C5" s="4"/>
      <x:c r="D5" s="4" t="s">
        <x:v>51</x:v>
      </x:c>
      <x:c r="E5" s="4" t="s">
        <x:v>52</x:v>
      </x:c>
      <x:c r="F5" s="5">
        <x:v>45839</x:v>
      </x:c>
      <x:c r="G5" s="4" t="s">
        <x:v>39</x:v>
      </x:c>
      <x:c r="H5" s="4" t="s"/>
      <x:c r="I5" s="4"/>
      <x:c r="J5" s="4"/>
      <x:c r="K5" s="6">
        <x:v>20000000</x:v>
      </x:c>
      <x:c r="L5" s="6">
        <x:v>20000000</x:v>
      </x:c>
      <x:c r="M5" s="4" t="s">
        <x:v>40</x:v>
      </x:c>
      <x:c r="N5" s="7">
        <x:v>10.8</x:v>
      </x:c>
      <x:c r="O5" s="8">
        <x:v>216000000</x:v>
      </x:c>
      <x:c r="P5" s="4" t="s">
        <x:v>53</x:v>
      </x:c>
      <x:c r="Q5" s="4" t="s"/>
      <x:c r="R5" s="5">
        <x:v>46023</x:v>
      </x:c>
      <x:c r="S5" s="4" t="s">
        <x:v>54</x:v>
      </x:c>
      <x:c r="T5" s="6" t="s"/>
      <x:c r="U5" s="6">
        <x:v>20000000</x:v>
      </x:c>
      <x:c r="V5" s="7">
        <x:v>11.3</x:v>
      </x:c>
      <x:c r="W5" s="6" t="s"/>
      <x:c r="X5" s="4"/>
      <x:c r="Y5" s="6" t="s"/>
      <x:c r="Z5" s="4"/>
      <x:c r="AA5" s="4"/>
      <x:c r="AB5" s="6">
        <x:v>0</x:v>
      </x:c>
      <x:c r="AC5" s="4"/>
      <x:c r="AD5" s="4"/>
      <x:c r="AE5" s="6" t="s"/>
      <x:c r="AF5" s="4"/>
      <x:c r="AG5" s="6" t="s"/>
      <x:c r="AH5" s="4"/>
      <x:c r="AI5" s="4" t="s">
        <x:v>55</x:v>
      </x:c>
    </x:row>
    <x:row r="6" spans="1:35">
      <x:c r="A6" s="1" t="s"/>
      <x:c r="B6" s="2" t="s"/>
      <x:c r="C6" s="2" t="s"/>
      <x:c r="D6" s="2" t="s"/>
      <x:c r="E6" s="2" t="s"/>
      <x:c r="F6" s="2" t="s"/>
      <x:c r="G6" s="2" t="s"/>
      <x:c r="H6" s="2" t="s"/>
      <x:c r="I6" s="2" t="s"/>
      <x:c r="J6" s="2" t="s"/>
      <x:c r="K6" s="9">
        <x:f>SUM(K2:K5)</x:f>
        <x:v>48312200</x:v>
      </x:c>
      <x:c r="L6" s="9">
        <x:f>SUM(L2:L5)</x:f>
        <x:v>46312200</x:v>
      </x:c>
      <x:c r="M6" s="2" t="s"/>
      <x:c r="N6" s="2" t="s"/>
      <x:c r="O6" s="10">
        <x:f>SUM(O2:O5)</x:f>
        <x:v>519872000</x:v>
      </x:c>
      <x:c r="P6" s="2" t="s"/>
      <x:c r="Q6" s="2" t="s"/>
      <x:c r="R6" s="2" t="s"/>
      <x:c r="S6" s="2" t="s"/>
      <x:c r="T6" s="9">
        <x:f>SUM(T2:T5)</x:f>
        <x:v>0</x:v>
      </x:c>
      <x:c r="U6" s="9">
        <x:f>SUM(U2:U5)</x:f>
        <x:v>20000000</x:v>
      </x:c>
      <x:c r="V6" s="2" t="s"/>
      <x:c r="W6" s="9">
        <x:f>SUM(W2:W5)</x:f>
        <x:v>687800</x:v>
      </x:c>
      <x:c r="X6" s="2" t="s"/>
      <x:c r="Y6" s="9">
        <x:f>SUM(Y2:Y5)</x:f>
        <x:v>0</x:v>
      </x:c>
      <x:c r="Z6" s="2" t="s"/>
      <x:c r="AA6" s="2" t="s"/>
      <x:c r="AB6" s="9" t="s"/>
      <x:c r="AC6" s="2" t="s"/>
      <x:c r="AD6" s="2" t="s"/>
      <x:c r="AE6" s="9">
        <x:f>SUM(AE2:AE5)</x:f>
        <x:v>0</x:v>
      </x:c>
      <x:c r="AF6" s="2" t="s"/>
      <x:c r="AG6" s="9">
        <x:f>SUM(AG2:AG5)</x:f>
        <x:v>0</x:v>
      </x:c>
      <x:c r="AH6" s="2" t="s"/>
      <x:c r="AI6" s="3" t="s"/>
    </x:row>
    <x:row r="7" spans="1:35">
      <x:c r="A7" s="11" t="s">
        <x:v>56</x:v>
      </x:c>
    </x:row>
    <x:row r="8" spans="1:35">
      <x:c r="A8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Share Transactions</vt:lpstr>
      <vt:lpstr>Share Transactions!Print_Area</vt:lpstr>
      <vt:lpstr>Share 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